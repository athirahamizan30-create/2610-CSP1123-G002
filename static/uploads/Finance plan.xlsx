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a7af8f821da40e7/"/>
    </mc:Choice>
  </mc:AlternateContent>
  <xr:revisionPtr revIDLastSave="48" documentId="14_{1A97C73C-46FE-417B-BEE0-0DF0FE8811BC}" xr6:coauthVersionLast="47" xr6:coauthVersionMax="47" xr10:uidLastSave="{1EA24AA3-EE40-4965-B1E3-7D817AF9B807}"/>
  <bookViews>
    <workbookView xWindow="-110" yWindow="-110" windowWidth="19420" windowHeight="10300" activeTab="3" xr2:uid="{00000000-000D-0000-FFFF-FFFF00000000}"/>
  </bookViews>
  <sheets>
    <sheet name="GUIDELINE" sheetId="1" r:id="rId1"/>
    <sheet name="INVESTMENT" sheetId="2" r:id="rId2"/>
    <sheet name="2025" sheetId="3" r:id="rId3"/>
    <sheet name="2026" sheetId="10" r:id="rId4"/>
    <sheet name="2027" sheetId="11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10" l="1"/>
  <c r="K15" i="10"/>
  <c r="K11" i="10"/>
  <c r="K10" i="10"/>
  <c r="K6" i="10"/>
  <c r="K7" i="10" s="1"/>
  <c r="K5" i="10"/>
  <c r="K27" i="10"/>
  <c r="K22" i="10"/>
  <c r="H16" i="10"/>
  <c r="H17" i="10"/>
  <c r="H11" i="10"/>
  <c r="H10" i="10"/>
  <c r="H12" i="10"/>
  <c r="H6" i="10"/>
  <c r="H5" i="10"/>
  <c r="H40" i="10"/>
  <c r="E40" i="10"/>
  <c r="E39" i="10"/>
  <c r="E38" i="10"/>
  <c r="E21" i="10"/>
  <c r="E20" i="10"/>
  <c r="H22" i="10"/>
  <c r="H7" i="10"/>
  <c r="E16" i="10"/>
  <c r="E17" i="10"/>
  <c r="E15" i="10"/>
  <c r="E11" i="10"/>
  <c r="E10" i="10"/>
  <c r="E6" i="10"/>
  <c r="E5" i="10"/>
  <c r="E7" i="10"/>
  <c r="E22" i="10"/>
  <c r="E35" i="10"/>
  <c r="E37" i="10"/>
  <c r="B35" i="10"/>
  <c r="B25" i="10"/>
  <c r="B26" i="10"/>
  <c r="E12" i="10"/>
  <c r="B21" i="10"/>
  <c r="B20" i="10"/>
  <c r="B22" i="10"/>
  <c r="B16" i="10"/>
  <c r="B17" i="10"/>
  <c r="B15" i="10"/>
  <c r="B11" i="10"/>
  <c r="B12" i="10"/>
  <c r="B10" i="10"/>
  <c r="B27" i="10"/>
  <c r="B37" i="10"/>
  <c r="B7" i="10"/>
  <c r="B6" i="10"/>
  <c r="B5" i="10"/>
  <c r="P38" i="3"/>
  <c r="P36" i="3"/>
  <c r="N39" i="3"/>
  <c r="N41" i="3"/>
  <c r="K22" i="3"/>
  <c r="K21" i="3"/>
  <c r="K20" i="3"/>
  <c r="K16" i="3"/>
  <c r="K17" i="3"/>
  <c r="K15" i="3"/>
  <c r="K11" i="3"/>
  <c r="K12" i="3"/>
  <c r="K10" i="3"/>
  <c r="N21" i="3"/>
  <c r="N22" i="3"/>
  <c r="N17" i="3"/>
  <c r="N16" i="3"/>
  <c r="N15" i="3"/>
  <c r="N11" i="3"/>
  <c r="N12" i="3"/>
  <c r="N10" i="3"/>
  <c r="N7" i="3"/>
  <c r="N6" i="3"/>
  <c r="N5" i="3"/>
  <c r="H38" i="3"/>
  <c r="H40" i="3"/>
  <c r="E38" i="3"/>
  <c r="E40" i="3"/>
  <c r="B38" i="3"/>
  <c r="B40" i="3"/>
  <c r="B39" i="10"/>
  <c r="B38" i="10"/>
  <c r="H35" i="10"/>
  <c r="H37" i="10"/>
  <c r="H38" i="10"/>
  <c r="H39" i="10"/>
  <c r="K17" i="10" l="1"/>
  <c r="K35" i="10" s="1"/>
  <c r="K38" i="10" s="1"/>
  <c r="K12" i="10"/>
  <c r="K39" i="10" l="1"/>
  <c r="K40" i="10" s="1"/>
</calcChain>
</file>

<file path=xl/sharedStrings.xml><?xml version="1.0" encoding="utf-8"?>
<sst xmlns="http://schemas.openxmlformats.org/spreadsheetml/2006/main" count="963" uniqueCount="139">
  <si>
    <t>GUIDELINE</t>
  </si>
  <si>
    <t>Title</t>
  </si>
  <si>
    <t>Amount</t>
  </si>
  <si>
    <t>Allowance JPA</t>
  </si>
  <si>
    <t>Allowance fama</t>
  </si>
  <si>
    <t>Total</t>
  </si>
  <si>
    <t>Total surplus of the year</t>
  </si>
  <si>
    <t>ASNB</t>
  </si>
  <si>
    <t>BSN</t>
  </si>
  <si>
    <t>Needs</t>
  </si>
  <si>
    <t>Daily</t>
  </si>
  <si>
    <t>Eczema</t>
  </si>
  <si>
    <t>Wants</t>
  </si>
  <si>
    <t xml:space="preserve"> MIGA</t>
  </si>
  <si>
    <t>KWSP</t>
  </si>
  <si>
    <t xml:space="preserve"> Date</t>
  </si>
  <si>
    <t>Amount (RM)</t>
  </si>
  <si>
    <t>Date</t>
  </si>
  <si>
    <t>Investment (RM)</t>
  </si>
  <si>
    <t>W1 (28/7-3/8)</t>
  </si>
  <si>
    <t>Surplus</t>
  </si>
  <si>
    <t xml:space="preserve">Food </t>
  </si>
  <si>
    <t>FAMA</t>
  </si>
  <si>
    <t>JPA</t>
  </si>
  <si>
    <t>Spend</t>
  </si>
  <si>
    <t>Spending</t>
  </si>
  <si>
    <t>Balance</t>
  </si>
  <si>
    <t>W2 (4/8-10/8)</t>
  </si>
  <si>
    <t>W3 (11/8-17/8)</t>
  </si>
  <si>
    <t>W4 (18/8-24/8)</t>
  </si>
  <si>
    <t>W5 (25/8-31/8)</t>
  </si>
  <si>
    <t>W1 (1/9 - 7/9)</t>
  </si>
  <si>
    <t>W2 (8/9 - 14/9)</t>
  </si>
  <si>
    <t>W3 (15/9 - 21/9)</t>
  </si>
  <si>
    <t>W4 (22/9 - 28/9)</t>
  </si>
  <si>
    <t>W1 (29/9 - 5/10)</t>
  </si>
  <si>
    <t>W2 (6/10 - 12/10)</t>
  </si>
  <si>
    <t>W3 (13/10 - 19/10)</t>
  </si>
  <si>
    <t>W4 (20/10 - 26/10)</t>
  </si>
  <si>
    <t>W5 (27/10 - 2/11)</t>
  </si>
  <si>
    <t>W1 (3/11 - 9/11)</t>
  </si>
  <si>
    <t>W2 (10/11 - 16/11)</t>
  </si>
  <si>
    <t>W3 (17/11 - 23/11)</t>
  </si>
  <si>
    <t>W4 (24/11 - 30/11)</t>
  </si>
  <si>
    <t>W1 (1/12 - 7/12)</t>
  </si>
  <si>
    <t>W2 (8/12 - 14/12)</t>
  </si>
  <si>
    <t>W3 (15/12 - 21/12)</t>
  </si>
  <si>
    <t>W4 (22/12 - 28/12)</t>
  </si>
  <si>
    <t>1. BSN (70%)</t>
  </si>
  <si>
    <t>2. ASB (15%)</t>
  </si>
  <si>
    <t>3. MIGA (15%)</t>
  </si>
  <si>
    <t xml:space="preserve">BSN </t>
  </si>
  <si>
    <t>W1 (29/12 - 4/1)</t>
  </si>
  <si>
    <t>W2 (5/1 - 11/1)</t>
  </si>
  <si>
    <t>W3 (12/1 - 18/1)</t>
  </si>
  <si>
    <t>W4 (19/1 - 25/1)</t>
  </si>
  <si>
    <t>W5 (26/1 - 1/2)</t>
  </si>
  <si>
    <t xml:space="preserve">Hadiah </t>
  </si>
  <si>
    <t>Self reward (10%)</t>
  </si>
  <si>
    <t xml:space="preserve"> Balance every month (2026)</t>
  </si>
  <si>
    <t>80% BSN</t>
  </si>
  <si>
    <t>20% Self reward</t>
  </si>
  <si>
    <t>AUGUST</t>
  </si>
  <si>
    <t>SEPTEMBER</t>
  </si>
  <si>
    <t>OCTOBER</t>
  </si>
  <si>
    <t>NOVEMBER</t>
  </si>
  <si>
    <t>DECEMBER</t>
  </si>
  <si>
    <t>SAVINGS</t>
  </si>
  <si>
    <t>Year</t>
  </si>
  <si>
    <t>Progress</t>
  </si>
  <si>
    <t>JANUARY</t>
  </si>
  <si>
    <t>FEBRUARY</t>
  </si>
  <si>
    <t>MARCH</t>
  </si>
  <si>
    <t>APRIL</t>
  </si>
  <si>
    <t>MAY</t>
  </si>
  <si>
    <t>JUNE</t>
  </si>
  <si>
    <t>JULY</t>
  </si>
  <si>
    <t>TOTAL SAVINGS</t>
  </si>
  <si>
    <t>ASB</t>
  </si>
  <si>
    <t>MIGA</t>
  </si>
  <si>
    <t>W1 (2/2 - 8/2)</t>
  </si>
  <si>
    <t>W2 (9/2 - 15/2)</t>
  </si>
  <si>
    <t>W3 (16/2 - 22/2)</t>
  </si>
  <si>
    <t>W4 (23/2 - 1/3)</t>
  </si>
  <si>
    <t>W1 (2/3 - 8/3)</t>
  </si>
  <si>
    <t>W2 (9/3 - 15/3)</t>
  </si>
  <si>
    <t>W3 (16/3 - 22/3)</t>
  </si>
  <si>
    <t>W4 (23/3 - 29/3)</t>
  </si>
  <si>
    <t>W1 (30/3 - 5/4)</t>
  </si>
  <si>
    <t>W2 (6/4 - 12/4)</t>
  </si>
  <si>
    <t>W3 (13/4 - 19/4)</t>
  </si>
  <si>
    <t>W4 (20/4 - 26/4)</t>
  </si>
  <si>
    <t>W5 (27/4 - 3/5)</t>
  </si>
  <si>
    <t>W1 (4/5 - 10/5)</t>
  </si>
  <si>
    <t>W2 (11/5 - 17/5)</t>
  </si>
  <si>
    <t>W3 (18/5 - 24/5)</t>
  </si>
  <si>
    <t>W4 (25/5 - 31/5)</t>
  </si>
  <si>
    <t>W1 (1/6 - 7/6)</t>
  </si>
  <si>
    <t>W2 (8/6 - 14/6)</t>
  </si>
  <si>
    <t>W3 (15/6 - 21/6)</t>
  </si>
  <si>
    <t>W4 (22/6 - 28/6)</t>
  </si>
  <si>
    <t>W1 (29/6 - 5/7)</t>
  </si>
  <si>
    <t>W2 (6/7 - 12/7)</t>
  </si>
  <si>
    <t>W3 (13/7 - 19/7)</t>
  </si>
  <si>
    <t>W4 (20/7 - 26/7)</t>
  </si>
  <si>
    <t>W5 (27/7 - 2/8)</t>
  </si>
  <si>
    <t>W1 (3/8 - 9/8)</t>
  </si>
  <si>
    <t>W2 (10/8 - 16/8)</t>
  </si>
  <si>
    <t>W3 (17/8 - 23/8)</t>
  </si>
  <si>
    <t>W4 (24/8 - 30/8)</t>
  </si>
  <si>
    <t>W1 (31/8 - 6/9)</t>
  </si>
  <si>
    <t>W2 (7/9 - 13/9)</t>
  </si>
  <si>
    <t>W3 (14/9 - 20/9)</t>
  </si>
  <si>
    <t>W4 (21/9 - 27/9)</t>
  </si>
  <si>
    <t>W1 (28/10 - 4/10)</t>
  </si>
  <si>
    <t>W2 (5/10 - 11/10)</t>
  </si>
  <si>
    <t>W3 (12/10 - 18/10)</t>
  </si>
  <si>
    <t>W4 (19/10 - 25/10)</t>
  </si>
  <si>
    <t>W5 (26/10 - 1/11)</t>
  </si>
  <si>
    <t>W1 (2/11 - 8/11)</t>
  </si>
  <si>
    <t>W2 (9/11 - 15/11)</t>
  </si>
  <si>
    <t>W3 (16/11 - 22/11)</t>
  </si>
  <si>
    <t>W4 (23/11 - 29/11)</t>
  </si>
  <si>
    <t>W1 (30/11 - 6/12)</t>
  </si>
  <si>
    <t>W2 (7/12 - 13/12)</t>
  </si>
  <si>
    <t>W3 (14/12 - 20/12)</t>
  </si>
  <si>
    <t>W4 (21/12 - 27/12)</t>
  </si>
  <si>
    <t>W5 (28/12 - 3/1)</t>
  </si>
  <si>
    <t>Wants + Eczema</t>
  </si>
  <si>
    <t>Berjimba (10%)</t>
  </si>
  <si>
    <t>done</t>
  </si>
  <si>
    <t xml:space="preserve">Berjimba </t>
  </si>
  <si>
    <t>Berjimba</t>
  </si>
  <si>
    <t>Total savings</t>
  </si>
  <si>
    <t>Saving</t>
  </si>
  <si>
    <t>Ipad</t>
  </si>
  <si>
    <t>Gelang</t>
  </si>
  <si>
    <t>Duit Raya</t>
  </si>
  <si>
    <t xml:space="preserve">Exo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</si>
</sst>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theme="4" tint="0.39997558519241921"/>
        <bgColor rgb="FF3D85C6"/>
      </patternFill>
    </fill>
    <fill>
      <patternFill patternType="solid">
        <fgColor theme="5" tint="0.59999389629810485"/>
        <bgColor rgb="FF990000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165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  <xf numFmtId="0" fontId="1" fillId="7" borderId="0" xfId="0" applyFont="1" applyFill="1" applyAlignment="1"/>
    <xf numFmtId="0" fontId="0" fillId="0" borderId="0" xfId="0" applyFont="1" applyFill="1" applyAlignment="1"/>
    <xf numFmtId="0" fontId="1" fillId="8" borderId="0" xfId="0" applyFont="1" applyFill="1" applyAlignment="1"/>
    <xf numFmtId="0" fontId="1" fillId="9" borderId="0" xfId="0" applyFont="1" applyFill="1" applyAlignment="1"/>
    <xf numFmtId="0" fontId="1" fillId="1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/>
    <xf numFmtId="0" fontId="1" fillId="14" borderId="0" xfId="0" applyFont="1" applyFill="1" applyAlignment="1">
      <alignment horizontal="center"/>
    </xf>
    <xf numFmtId="0" fontId="1" fillId="15" borderId="0" xfId="0" applyFont="1" applyFill="1" applyAlignment="1"/>
    <xf numFmtId="0" fontId="0" fillId="15" borderId="0" xfId="0" applyFont="1" applyFill="1" applyAlignment="1"/>
    <xf numFmtId="0" fontId="1" fillId="16" borderId="0" xfId="0" applyFont="1" applyFill="1" applyAlignment="1"/>
    <xf numFmtId="0" fontId="2" fillId="0" borderId="0" xfId="0" applyFont="1" applyFill="1" applyAlignment="1"/>
    <xf numFmtId="0" fontId="3" fillId="0" borderId="0" xfId="0" applyFont="1" applyAlignment="1"/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Font="1" applyAlignment="1"/>
    <xf numFmtId="14" fontId="0" fillId="0" borderId="0" xfId="0" applyNumberFormat="1" applyFont="1" applyAlignment="1"/>
    <xf numFmtId="14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/>
    <xf numFmtId="1" fontId="0" fillId="0" borderId="0" xfId="0" applyNumberFormat="1" applyFont="1" applyAlignment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17" borderId="0" xfId="0" applyFont="1" applyFill="1" applyAlignment="1"/>
    <xf numFmtId="2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"/>
  <sheetViews>
    <sheetView workbookViewId="0">
      <selection activeCell="E16" sqref="E16"/>
    </sheetView>
  </sheetViews>
  <sheetFormatPr defaultColWidth="12.6328125" defaultRowHeight="15.75" customHeight="1" x14ac:dyDescent="0.25"/>
  <cols>
    <col min="1" max="1" width="16" customWidth="1"/>
    <col min="4" max="4" width="24.36328125" bestFit="1" customWidth="1"/>
  </cols>
  <sheetData>
    <row r="1" spans="1:4" ht="15.75" customHeight="1" x14ac:dyDescent="0.25">
      <c r="A1" s="1" t="s">
        <v>0</v>
      </c>
    </row>
    <row r="2" spans="1:4" ht="15.75" customHeight="1" x14ac:dyDescent="0.25">
      <c r="A2" s="1"/>
      <c r="B2" s="1"/>
    </row>
    <row r="3" spans="1:4" ht="15.75" customHeight="1" x14ac:dyDescent="0.25">
      <c r="A3" s="2" t="s">
        <v>1</v>
      </c>
      <c r="B3" s="2" t="s">
        <v>2</v>
      </c>
      <c r="D3" s="12" t="s">
        <v>6</v>
      </c>
    </row>
    <row r="4" spans="1:4" ht="15.75" customHeight="1" x14ac:dyDescent="0.25">
      <c r="A4" s="1" t="s">
        <v>3</v>
      </c>
      <c r="B4" s="1">
        <v>530</v>
      </c>
      <c r="D4" s="1" t="s">
        <v>48</v>
      </c>
    </row>
    <row r="5" spans="1:4" ht="15.75" customHeight="1" x14ac:dyDescent="0.25">
      <c r="A5" s="1" t="s">
        <v>4</v>
      </c>
      <c r="B5" s="1">
        <v>1000</v>
      </c>
      <c r="D5" s="1" t="s">
        <v>49</v>
      </c>
    </row>
    <row r="6" spans="1:4" ht="15.75" customHeight="1" x14ac:dyDescent="0.25">
      <c r="D6" s="1" t="s">
        <v>50</v>
      </c>
    </row>
    <row r="7" spans="1:4" ht="15.75" customHeight="1" x14ac:dyDescent="0.25">
      <c r="A7" s="1" t="s">
        <v>5</v>
      </c>
      <c r="B7" s="15">
        <v>1530</v>
      </c>
    </row>
    <row r="8" spans="1:4" ht="15.75" customHeight="1" x14ac:dyDescent="0.25">
      <c r="D8" s="11"/>
    </row>
    <row r="9" spans="1:4" ht="15.75" customHeight="1" x14ac:dyDescent="0.25">
      <c r="A9" s="1" t="s">
        <v>9</v>
      </c>
      <c r="B9" s="1">
        <v>765</v>
      </c>
      <c r="C9" s="13"/>
      <c r="D9" s="24" t="s">
        <v>59</v>
      </c>
    </row>
    <row r="10" spans="1:4" ht="15.75" customHeight="1" x14ac:dyDescent="0.25">
      <c r="A10" s="1" t="s">
        <v>10</v>
      </c>
      <c r="B10" s="14">
        <v>25</v>
      </c>
      <c r="C10" s="13"/>
      <c r="D10" s="11" t="s">
        <v>60</v>
      </c>
    </row>
    <row r="11" spans="1:4" ht="15.75" customHeight="1" x14ac:dyDescent="0.25">
      <c r="A11" s="1" t="s">
        <v>11</v>
      </c>
      <c r="B11" s="1">
        <v>150</v>
      </c>
      <c r="C11" s="13"/>
      <c r="D11" s="11" t="s">
        <v>61</v>
      </c>
    </row>
    <row r="13" spans="1:4" ht="15.75" customHeight="1" x14ac:dyDescent="0.25">
      <c r="A13" s="1"/>
      <c r="B13" s="1"/>
    </row>
    <row r="14" spans="1:4" ht="15.75" customHeight="1" x14ac:dyDescent="0.25">
      <c r="A14" s="11"/>
      <c r="B14" s="11"/>
    </row>
    <row r="15" spans="1:4" ht="15.75" customHeight="1" x14ac:dyDescent="0.25">
      <c r="A15" s="1"/>
      <c r="B15" s="11"/>
    </row>
    <row r="16" spans="1:4" ht="15.75" customHeight="1" x14ac:dyDescent="0.25">
      <c r="A16" s="11"/>
      <c r="B16" s="11"/>
    </row>
    <row r="17" spans="1:2" ht="15.75" customHeight="1" x14ac:dyDescent="0.25">
      <c r="A17" s="1"/>
      <c r="B17" s="1"/>
    </row>
    <row r="19" spans="1:2" ht="15.75" customHeight="1" x14ac:dyDescent="0.25">
      <c r="B19" s="1"/>
    </row>
    <row r="20" spans="1:2" ht="15.75" customHeight="1" x14ac:dyDescent="0.25">
      <c r="A20" s="11"/>
      <c r="B20" s="11"/>
    </row>
    <row r="23" spans="1:2" ht="12.5" x14ac:dyDescent="0.25">
      <c r="B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"/>
  <sheetViews>
    <sheetView zoomScale="81" workbookViewId="0">
      <selection activeCell="G10" sqref="G10"/>
    </sheetView>
  </sheetViews>
  <sheetFormatPr defaultColWidth="12.6328125" defaultRowHeight="15.75" customHeight="1" x14ac:dyDescent="0.25"/>
  <cols>
    <col min="1" max="2" width="12.6328125" style="27"/>
    <col min="3" max="3" width="12.6328125" style="1"/>
    <col min="4" max="4" width="12.6328125" style="27"/>
    <col min="7" max="7" width="12.6328125" style="32"/>
    <col min="8" max="8" width="14.1796875" bestFit="1" customWidth="1"/>
  </cols>
  <sheetData>
    <row r="1" spans="1:14" ht="15.75" customHeight="1" x14ac:dyDescent="0.25">
      <c r="A1" s="28" t="s">
        <v>67</v>
      </c>
      <c r="D1" s="1" t="s">
        <v>7</v>
      </c>
      <c r="E1" s="1"/>
      <c r="F1" s="1"/>
      <c r="J1" s="1" t="s">
        <v>13</v>
      </c>
      <c r="M1" s="1" t="s">
        <v>14</v>
      </c>
    </row>
    <row r="2" spans="1:14" ht="15.75" customHeight="1" x14ac:dyDescent="0.25">
      <c r="D2" s="28"/>
      <c r="H2" s="26" t="s">
        <v>69</v>
      </c>
    </row>
    <row r="3" spans="1:14" ht="15.75" customHeight="1" x14ac:dyDescent="0.25">
      <c r="A3" s="29" t="s">
        <v>68</v>
      </c>
      <c r="B3" s="29" t="s">
        <v>2</v>
      </c>
      <c r="D3" s="30" t="s">
        <v>15</v>
      </c>
      <c r="E3" s="3" t="s">
        <v>16</v>
      </c>
      <c r="G3" s="33" t="s">
        <v>17</v>
      </c>
      <c r="H3" s="4" t="s">
        <v>18</v>
      </c>
      <c r="J3" s="5" t="s">
        <v>17</v>
      </c>
      <c r="K3" s="5" t="s">
        <v>2</v>
      </c>
      <c r="M3" s="6" t="s">
        <v>17</v>
      </c>
      <c r="N3" s="6" t="s">
        <v>2</v>
      </c>
    </row>
    <row r="4" spans="1:14" ht="15.75" customHeight="1" x14ac:dyDescent="0.25">
      <c r="D4" s="34">
        <v>45723</v>
      </c>
      <c r="E4" s="1">
        <v>2000</v>
      </c>
      <c r="G4" s="31">
        <v>45880</v>
      </c>
      <c r="H4" s="1">
        <v>2604.39</v>
      </c>
      <c r="J4" s="7">
        <v>45723</v>
      </c>
      <c r="K4" s="1">
        <v>50</v>
      </c>
      <c r="M4" s="7">
        <v>45723</v>
      </c>
      <c r="N4" s="1">
        <v>50</v>
      </c>
    </row>
    <row r="5" spans="1:14" ht="15.75" customHeight="1" x14ac:dyDescent="0.25">
      <c r="A5" s="27">
        <v>2025</v>
      </c>
      <c r="B5" s="27">
        <v>3730.43</v>
      </c>
      <c r="D5" s="38">
        <v>46025</v>
      </c>
      <c r="G5" s="31"/>
      <c r="H5" s="1"/>
      <c r="J5" s="37">
        <v>46022</v>
      </c>
      <c r="K5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14"/>
  <sheetViews>
    <sheetView topLeftCell="G22" zoomScaleNormal="100" workbookViewId="0">
      <selection activeCell="P36" sqref="P36"/>
    </sheetView>
  </sheetViews>
  <sheetFormatPr defaultColWidth="12.6328125" defaultRowHeight="15.75" customHeight="1" x14ac:dyDescent="0.25"/>
  <cols>
    <col min="1" max="1" width="16" customWidth="1"/>
    <col min="7" max="7" width="16.26953125" bestFit="1" customWidth="1"/>
    <col min="16" max="16" width="15.26953125" bestFit="1" customWidth="1"/>
  </cols>
  <sheetData>
    <row r="1" spans="1:18" ht="15.75" customHeight="1" x14ac:dyDescent="0.25">
      <c r="A1" s="1"/>
      <c r="B1" s="8"/>
      <c r="D1" s="13"/>
      <c r="E1" s="13"/>
      <c r="F1" s="13"/>
      <c r="G1" s="13"/>
      <c r="H1" s="13"/>
    </row>
    <row r="2" spans="1:18" ht="15.75" customHeight="1" x14ac:dyDescent="0.25">
      <c r="A2" s="1" t="s">
        <v>62</v>
      </c>
      <c r="B2" s="9"/>
      <c r="D2" s="13" t="s">
        <v>63</v>
      </c>
      <c r="E2" s="13"/>
      <c r="F2" s="13"/>
      <c r="G2" s="13" t="s">
        <v>64</v>
      </c>
      <c r="H2" s="13"/>
      <c r="J2" t="s">
        <v>65</v>
      </c>
      <c r="M2" s="26" t="s">
        <v>66</v>
      </c>
    </row>
    <row r="3" spans="1:18" ht="15.75" customHeight="1" x14ac:dyDescent="0.25">
      <c r="A3" s="1"/>
      <c r="B3" s="9"/>
      <c r="D3" s="13"/>
      <c r="E3" s="13"/>
      <c r="F3" s="13"/>
      <c r="G3" s="13"/>
      <c r="H3" s="13"/>
      <c r="I3" s="13"/>
      <c r="J3" s="13"/>
    </row>
    <row r="4" spans="1:18" ht="15.75" customHeight="1" x14ac:dyDescent="0.25">
      <c r="A4" s="2" t="s">
        <v>19</v>
      </c>
      <c r="B4" s="10" t="s">
        <v>2</v>
      </c>
      <c r="D4" s="2" t="s">
        <v>31</v>
      </c>
      <c r="E4" s="10" t="s">
        <v>2</v>
      </c>
      <c r="G4" s="2" t="s">
        <v>35</v>
      </c>
      <c r="H4" s="10" t="s">
        <v>2</v>
      </c>
      <c r="J4" s="2" t="s">
        <v>40</v>
      </c>
      <c r="K4" s="10" t="s">
        <v>2</v>
      </c>
      <c r="M4" s="2" t="s">
        <v>44</v>
      </c>
      <c r="N4" s="10" t="s">
        <v>2</v>
      </c>
      <c r="P4" s="13"/>
      <c r="Q4" s="11"/>
      <c r="R4" s="11"/>
    </row>
    <row r="5" spans="1:18" ht="15.75" customHeight="1" x14ac:dyDescent="0.25">
      <c r="A5" s="1" t="s">
        <v>21</v>
      </c>
      <c r="B5" s="9">
        <v>112.7</v>
      </c>
      <c r="D5" s="1" t="s">
        <v>21</v>
      </c>
      <c r="E5" s="9">
        <v>77</v>
      </c>
      <c r="G5" s="1" t="s">
        <v>21</v>
      </c>
      <c r="H5" s="9">
        <v>96.62</v>
      </c>
      <c r="J5" s="1" t="s">
        <v>21</v>
      </c>
      <c r="K5" s="9">
        <v>119.2</v>
      </c>
      <c r="M5" s="1" t="s">
        <v>21</v>
      </c>
      <c r="N5" s="9">
        <f>45.3+35.2+26.4+14.7</f>
        <v>121.60000000000001</v>
      </c>
      <c r="P5" s="13"/>
      <c r="Q5" s="11"/>
      <c r="R5" s="11"/>
    </row>
    <row r="6" spans="1:18" ht="15.75" customHeight="1" x14ac:dyDescent="0.25">
      <c r="A6" s="1" t="s">
        <v>12</v>
      </c>
      <c r="B6" s="9">
        <v>52</v>
      </c>
      <c r="D6" s="1" t="s">
        <v>12</v>
      </c>
      <c r="E6" s="9">
        <v>22.9</v>
      </c>
      <c r="G6" s="1" t="s">
        <v>12</v>
      </c>
      <c r="H6" s="9">
        <v>17.7</v>
      </c>
      <c r="J6" s="1" t="s">
        <v>12</v>
      </c>
      <c r="K6" s="9">
        <v>119.1</v>
      </c>
      <c r="M6" s="1" t="s">
        <v>12</v>
      </c>
      <c r="N6" s="9">
        <f>40+9.9+4</f>
        <v>53.9</v>
      </c>
      <c r="P6" s="13"/>
      <c r="Q6" s="11"/>
      <c r="R6" s="11"/>
    </row>
    <row r="7" spans="1:18" ht="15.75" customHeight="1" x14ac:dyDescent="0.25">
      <c r="A7" s="1" t="s">
        <v>24</v>
      </c>
      <c r="B7" s="16">
        <v>164.7</v>
      </c>
      <c r="D7" s="1" t="s">
        <v>24</v>
      </c>
      <c r="E7" s="19">
        <v>99.9</v>
      </c>
      <c r="G7" s="1" t="s">
        <v>24</v>
      </c>
      <c r="H7" s="19">
        <v>114.32</v>
      </c>
      <c r="J7" s="1" t="s">
        <v>24</v>
      </c>
      <c r="K7" s="19">
        <v>238.3</v>
      </c>
      <c r="M7" s="1" t="s">
        <v>24</v>
      </c>
      <c r="N7" s="19">
        <f>N5+N6</f>
        <v>175.5</v>
      </c>
      <c r="P7" s="13"/>
      <c r="Q7" s="11"/>
      <c r="R7" s="13"/>
    </row>
    <row r="8" spans="1:18" ht="15.75" customHeight="1" x14ac:dyDescent="0.25">
      <c r="A8" s="11"/>
      <c r="B8" s="17"/>
      <c r="D8" s="11"/>
      <c r="E8" s="17"/>
      <c r="G8" s="11"/>
      <c r="H8" s="17"/>
      <c r="J8" s="11"/>
      <c r="K8" s="17"/>
      <c r="M8" s="1"/>
      <c r="N8" s="9"/>
      <c r="P8" s="13"/>
      <c r="Q8" s="11"/>
      <c r="R8" s="13"/>
    </row>
    <row r="9" spans="1:18" ht="15.75" customHeight="1" x14ac:dyDescent="0.25">
      <c r="A9" s="2" t="s">
        <v>27</v>
      </c>
      <c r="B9" s="10" t="s">
        <v>2</v>
      </c>
      <c r="D9" s="2" t="s">
        <v>32</v>
      </c>
      <c r="E9" s="10" t="s">
        <v>2</v>
      </c>
      <c r="G9" s="2" t="s">
        <v>36</v>
      </c>
      <c r="H9" s="10" t="s">
        <v>2</v>
      </c>
      <c r="J9" s="2" t="s">
        <v>41</v>
      </c>
      <c r="K9" s="10" t="s">
        <v>2</v>
      </c>
      <c r="L9" s="13"/>
      <c r="M9" s="2" t="s">
        <v>45</v>
      </c>
      <c r="N9" s="10" t="s">
        <v>2</v>
      </c>
      <c r="P9" s="13"/>
      <c r="Q9" s="13"/>
      <c r="R9" s="13"/>
    </row>
    <row r="10" spans="1:18" ht="15.75" customHeight="1" x14ac:dyDescent="0.25">
      <c r="A10" s="1" t="s">
        <v>21</v>
      </c>
      <c r="B10" s="9">
        <v>67.25</v>
      </c>
      <c r="D10" s="1" t="s">
        <v>21</v>
      </c>
      <c r="E10" s="9">
        <v>99.6</v>
      </c>
      <c r="G10" s="1" t="s">
        <v>21</v>
      </c>
      <c r="H10" s="9">
        <v>17</v>
      </c>
      <c r="J10" s="1" t="s">
        <v>21</v>
      </c>
      <c r="K10" s="9">
        <f>64.25+53.4+7</f>
        <v>124.65</v>
      </c>
      <c r="M10" s="1" t="s">
        <v>21</v>
      </c>
      <c r="N10" s="9">
        <f>58.9+58.35+16.2+4</f>
        <v>137.44999999999999</v>
      </c>
      <c r="P10" s="13"/>
      <c r="Q10" s="11"/>
      <c r="R10" s="13"/>
    </row>
    <row r="11" spans="1:18" ht="15.75" customHeight="1" x14ac:dyDescent="0.25">
      <c r="A11" s="1" t="s">
        <v>12</v>
      </c>
      <c r="B11" s="9">
        <v>71.2</v>
      </c>
      <c r="D11" s="1" t="s">
        <v>12</v>
      </c>
      <c r="E11" s="9">
        <v>28.8</v>
      </c>
      <c r="G11" s="1" t="s">
        <v>12</v>
      </c>
      <c r="H11" s="9">
        <v>30.3</v>
      </c>
      <c r="J11" s="1" t="s">
        <v>12</v>
      </c>
      <c r="K11" s="9">
        <f>35+16.4+4+0.8</f>
        <v>56.199999999999996</v>
      </c>
      <c r="M11" s="1" t="s">
        <v>12</v>
      </c>
      <c r="N11" s="9">
        <f>36.05+33.36+33.33+4+3.3</f>
        <v>110.03999999999999</v>
      </c>
      <c r="P11" s="13"/>
      <c r="Q11" s="13"/>
      <c r="R11" s="13"/>
    </row>
    <row r="12" spans="1:18" ht="15.75" customHeight="1" x14ac:dyDescent="0.25">
      <c r="A12" s="1" t="s">
        <v>24</v>
      </c>
      <c r="B12" s="16">
        <v>138.44999999999999</v>
      </c>
      <c r="D12" s="1" t="s">
        <v>24</v>
      </c>
      <c r="E12" s="19">
        <v>128.4</v>
      </c>
      <c r="G12" s="1" t="s">
        <v>24</v>
      </c>
      <c r="H12" s="19">
        <v>47.3</v>
      </c>
      <c r="J12" s="1" t="s">
        <v>24</v>
      </c>
      <c r="K12" s="19">
        <f>K10+K11</f>
        <v>180.85</v>
      </c>
      <c r="M12" s="1" t="s">
        <v>24</v>
      </c>
      <c r="N12" s="19">
        <f>N11+N10</f>
        <v>247.48999999999998</v>
      </c>
      <c r="P12" s="13"/>
      <c r="Q12" s="11"/>
      <c r="R12" s="13"/>
    </row>
    <row r="13" spans="1:18" ht="15.75" customHeight="1" x14ac:dyDescent="0.25">
      <c r="A13" s="1"/>
      <c r="B13" s="9"/>
      <c r="D13" s="11"/>
      <c r="E13" s="17"/>
      <c r="G13" s="11"/>
      <c r="H13" s="17"/>
      <c r="J13" s="1"/>
      <c r="K13" s="9"/>
      <c r="M13" s="1"/>
      <c r="N13" s="9"/>
      <c r="P13" s="17"/>
      <c r="Q13" s="13"/>
      <c r="R13" s="17"/>
    </row>
    <row r="14" spans="1:18" ht="15.75" customHeight="1" x14ac:dyDescent="0.25">
      <c r="A14" s="2" t="s">
        <v>28</v>
      </c>
      <c r="B14" s="10" t="s">
        <v>2</v>
      </c>
      <c r="E14" s="9"/>
      <c r="H14" s="9"/>
      <c r="J14" s="2" t="s">
        <v>42</v>
      </c>
      <c r="K14" s="10" t="s">
        <v>2</v>
      </c>
      <c r="M14" s="2" t="s">
        <v>46</v>
      </c>
      <c r="N14" s="10" t="s">
        <v>2</v>
      </c>
    </row>
    <row r="15" spans="1:18" ht="15.75" customHeight="1" x14ac:dyDescent="0.25">
      <c r="A15" s="1" t="s">
        <v>21</v>
      </c>
      <c r="B15" s="9">
        <v>229.54</v>
      </c>
      <c r="D15" s="2" t="s">
        <v>33</v>
      </c>
      <c r="E15" s="10" t="s">
        <v>2</v>
      </c>
      <c r="G15" s="2" t="s">
        <v>37</v>
      </c>
      <c r="H15" s="10" t="s">
        <v>2</v>
      </c>
      <c r="J15" s="1" t="s">
        <v>21</v>
      </c>
      <c r="K15" s="9">
        <f>57.1+50.8+7</f>
        <v>114.9</v>
      </c>
      <c r="M15" s="1" t="s">
        <v>21</v>
      </c>
      <c r="N15" s="9">
        <f>93.24+61.3+13.2</f>
        <v>167.73999999999998</v>
      </c>
    </row>
    <row r="16" spans="1:18" ht="15.75" customHeight="1" x14ac:dyDescent="0.25">
      <c r="A16" s="1" t="s">
        <v>12</v>
      </c>
      <c r="B16" s="9">
        <v>97.35</v>
      </c>
      <c r="D16" s="1" t="s">
        <v>21</v>
      </c>
      <c r="E16" s="9">
        <v>204.37</v>
      </c>
      <c r="G16" s="1" t="s">
        <v>21</v>
      </c>
      <c r="H16" s="9">
        <v>15</v>
      </c>
      <c r="J16" s="1" t="s">
        <v>12</v>
      </c>
      <c r="K16" s="9">
        <f>16.95+16.3+15+13+8</f>
        <v>69.25</v>
      </c>
      <c r="M16" s="1" t="s">
        <v>12</v>
      </c>
      <c r="N16" s="9">
        <f>66.8+12.5+7.95+4</f>
        <v>91.25</v>
      </c>
    </row>
    <row r="17" spans="1:18" ht="15.75" customHeight="1" x14ac:dyDescent="0.25">
      <c r="A17" s="1" t="s">
        <v>24</v>
      </c>
      <c r="B17" s="18">
        <v>326.89</v>
      </c>
      <c r="D17" s="1" t="s">
        <v>12</v>
      </c>
      <c r="E17" s="9">
        <v>174.75</v>
      </c>
      <c r="G17" s="1" t="s">
        <v>12</v>
      </c>
      <c r="H17" s="9">
        <v>186.87</v>
      </c>
      <c r="J17" s="1" t="s">
        <v>24</v>
      </c>
      <c r="K17" s="19">
        <f>K16+K15</f>
        <v>184.15</v>
      </c>
      <c r="M17" s="1" t="s">
        <v>24</v>
      </c>
      <c r="N17" s="21">
        <f>N15+N16</f>
        <v>258.99</v>
      </c>
    </row>
    <row r="18" spans="1:18" ht="15.75" customHeight="1" x14ac:dyDescent="0.25">
      <c r="A18" s="1"/>
      <c r="B18" s="9"/>
      <c r="D18" s="1" t="s">
        <v>11</v>
      </c>
      <c r="E18" s="9">
        <v>119.04</v>
      </c>
      <c r="G18" s="1" t="s">
        <v>11</v>
      </c>
      <c r="H18" s="9">
        <v>131.41999999999999</v>
      </c>
      <c r="J18" s="1"/>
      <c r="K18" s="9"/>
      <c r="M18" s="1"/>
      <c r="N18" s="9"/>
    </row>
    <row r="19" spans="1:18" ht="15.75" customHeight="1" x14ac:dyDescent="0.25">
      <c r="A19" s="2" t="s">
        <v>29</v>
      </c>
      <c r="B19" s="10" t="s">
        <v>2</v>
      </c>
      <c r="D19" s="1" t="s">
        <v>24</v>
      </c>
      <c r="E19" s="18">
        <v>498.16</v>
      </c>
      <c r="G19" s="1" t="s">
        <v>24</v>
      </c>
      <c r="H19" s="21">
        <v>333.29</v>
      </c>
      <c r="J19" s="2" t="s">
        <v>43</v>
      </c>
      <c r="K19" s="10" t="s">
        <v>2</v>
      </c>
      <c r="M19" s="2" t="s">
        <v>47</v>
      </c>
      <c r="N19" s="10" t="s">
        <v>2</v>
      </c>
      <c r="P19" s="9"/>
      <c r="R19" s="9"/>
    </row>
    <row r="20" spans="1:18" ht="15.75" customHeight="1" x14ac:dyDescent="0.25">
      <c r="A20" s="1" t="s">
        <v>21</v>
      </c>
      <c r="B20" s="9">
        <v>109.3</v>
      </c>
      <c r="D20" s="11"/>
      <c r="E20" s="17"/>
      <c r="G20" s="11"/>
      <c r="H20" s="17"/>
      <c r="J20" s="1" t="s">
        <v>21</v>
      </c>
      <c r="K20" s="9">
        <f>64.9+53+5.3</f>
        <v>123.2</v>
      </c>
      <c r="M20" s="1" t="s">
        <v>21</v>
      </c>
      <c r="N20" s="9">
        <v>24.8</v>
      </c>
    </row>
    <row r="21" spans="1:18" ht="15.75" customHeight="1" x14ac:dyDescent="0.25">
      <c r="A21" s="1" t="s">
        <v>12</v>
      </c>
      <c r="B21" s="9">
        <v>41.9</v>
      </c>
      <c r="D21" s="1"/>
      <c r="E21" s="9"/>
      <c r="G21" s="1"/>
      <c r="H21" s="9"/>
      <c r="J21" s="1" t="s">
        <v>12</v>
      </c>
      <c r="K21" s="9">
        <f>19+8+3</f>
        <v>30</v>
      </c>
      <c r="M21" s="1" t="s">
        <v>12</v>
      </c>
      <c r="N21" s="9">
        <f>40+10.2</f>
        <v>50.2</v>
      </c>
    </row>
    <row r="22" spans="1:18" ht="12.5" x14ac:dyDescent="0.25">
      <c r="A22" s="1" t="s">
        <v>11</v>
      </c>
      <c r="B22" s="9">
        <v>126.48</v>
      </c>
      <c r="D22" s="2" t="s">
        <v>34</v>
      </c>
      <c r="E22" s="10" t="s">
        <v>2</v>
      </c>
      <c r="G22" s="2" t="s">
        <v>38</v>
      </c>
      <c r="H22" s="10" t="s">
        <v>2</v>
      </c>
      <c r="J22" s="1" t="s">
        <v>24</v>
      </c>
      <c r="K22" s="19">
        <f>K21+K20</f>
        <v>153.19999999999999</v>
      </c>
      <c r="M22" s="1" t="s">
        <v>24</v>
      </c>
      <c r="N22" s="19">
        <f>N21+N20</f>
        <v>75</v>
      </c>
    </row>
    <row r="23" spans="1:18" ht="12.5" x14ac:dyDescent="0.25">
      <c r="A23" s="1" t="s">
        <v>24</v>
      </c>
      <c r="B23" s="18">
        <v>277.68</v>
      </c>
      <c r="D23" s="1" t="s">
        <v>21</v>
      </c>
      <c r="E23" s="9">
        <v>99.6</v>
      </c>
      <c r="G23" s="1" t="s">
        <v>21</v>
      </c>
      <c r="H23" s="9">
        <v>0</v>
      </c>
      <c r="J23" s="1"/>
      <c r="K23" s="17"/>
    </row>
    <row r="24" spans="1:18" ht="12.5" x14ac:dyDescent="0.25">
      <c r="A24" s="11"/>
      <c r="B24" s="17"/>
      <c r="D24" s="1" t="s">
        <v>12</v>
      </c>
      <c r="E24" s="9">
        <v>4</v>
      </c>
      <c r="G24" s="1" t="s">
        <v>12</v>
      </c>
      <c r="H24" s="9">
        <v>48.63</v>
      </c>
      <c r="J24" s="1"/>
      <c r="K24" s="9"/>
    </row>
    <row r="25" spans="1:18" ht="12.5" x14ac:dyDescent="0.25">
      <c r="B25" s="9"/>
      <c r="D25" s="1" t="s">
        <v>24</v>
      </c>
      <c r="E25" s="19">
        <v>103.6</v>
      </c>
      <c r="G25" s="1" t="s">
        <v>24</v>
      </c>
      <c r="H25" s="19">
        <v>48.63</v>
      </c>
      <c r="J25" s="25"/>
      <c r="K25" s="25"/>
      <c r="L25" s="25"/>
    </row>
    <row r="26" spans="1:18" ht="12.5" x14ac:dyDescent="0.25">
      <c r="A26" s="2" t="s">
        <v>30</v>
      </c>
      <c r="B26" s="10" t="s">
        <v>2</v>
      </c>
      <c r="G26" s="11"/>
      <c r="H26" s="17"/>
      <c r="J26" s="25"/>
      <c r="K26" s="25"/>
      <c r="L26" s="25"/>
    </row>
    <row r="27" spans="1:18" ht="12.5" x14ac:dyDescent="0.25">
      <c r="A27" s="1" t="s">
        <v>21</v>
      </c>
      <c r="B27" s="9">
        <v>113.1</v>
      </c>
      <c r="G27" s="13"/>
      <c r="H27" s="17"/>
      <c r="J27" s="25"/>
      <c r="K27" s="25"/>
      <c r="L27" s="25"/>
    </row>
    <row r="28" spans="1:18" ht="12.5" x14ac:dyDescent="0.25">
      <c r="A28" s="1" t="s">
        <v>12</v>
      </c>
      <c r="B28" s="9">
        <v>17</v>
      </c>
      <c r="G28" s="2" t="s">
        <v>39</v>
      </c>
      <c r="H28" s="10" t="s">
        <v>2</v>
      </c>
      <c r="J28" s="25"/>
      <c r="K28" s="25"/>
      <c r="L28" s="25"/>
    </row>
    <row r="29" spans="1:18" ht="12.5" x14ac:dyDescent="0.25">
      <c r="A29" s="1" t="s">
        <v>24</v>
      </c>
      <c r="B29" s="16">
        <v>130.1</v>
      </c>
      <c r="G29" s="1" t="s">
        <v>21</v>
      </c>
      <c r="H29" s="9">
        <v>27.32</v>
      </c>
      <c r="J29" s="25"/>
      <c r="K29" s="25"/>
      <c r="L29" s="25"/>
    </row>
    <row r="30" spans="1:18" ht="12.5" x14ac:dyDescent="0.25">
      <c r="A30" s="11"/>
      <c r="B30" s="17"/>
      <c r="G30" s="1" t="s">
        <v>12</v>
      </c>
      <c r="H30" s="9">
        <v>67.349999999999994</v>
      </c>
      <c r="J30" s="25"/>
      <c r="K30" s="25"/>
      <c r="L30" s="25"/>
    </row>
    <row r="31" spans="1:18" ht="12.5" x14ac:dyDescent="0.25">
      <c r="A31" s="11"/>
      <c r="B31" s="17"/>
      <c r="G31" s="1" t="s">
        <v>24</v>
      </c>
      <c r="H31" s="19">
        <v>94.67</v>
      </c>
      <c r="J31" s="25"/>
      <c r="K31" s="25"/>
      <c r="L31" s="25"/>
    </row>
    <row r="32" spans="1:18" ht="12.5" x14ac:dyDescent="0.25">
      <c r="A32" s="11"/>
      <c r="B32" s="17"/>
      <c r="G32" s="1"/>
      <c r="H32" s="17"/>
    </row>
    <row r="33" spans="1:17" ht="12.5" x14ac:dyDescent="0.25">
      <c r="A33" s="11"/>
      <c r="B33" s="17"/>
      <c r="G33" s="1"/>
      <c r="H33" s="17"/>
    </row>
    <row r="34" spans="1:17" ht="12.5" x14ac:dyDescent="0.25">
      <c r="A34" s="1"/>
      <c r="B34" s="9"/>
    </row>
    <row r="35" spans="1:17" ht="12.5" x14ac:dyDescent="0.25">
      <c r="A35" s="2" t="s">
        <v>20</v>
      </c>
      <c r="B35" s="2" t="s">
        <v>2</v>
      </c>
      <c r="D35" s="2" t="s">
        <v>20</v>
      </c>
      <c r="E35" s="2" t="s">
        <v>2</v>
      </c>
      <c r="G35" s="2" t="s">
        <v>20</v>
      </c>
      <c r="H35" s="2" t="s">
        <v>2</v>
      </c>
      <c r="J35" s="2" t="s">
        <v>20</v>
      </c>
      <c r="K35" s="2" t="s">
        <v>2</v>
      </c>
      <c r="M35" s="2" t="s">
        <v>20</v>
      </c>
      <c r="N35" s="2" t="s">
        <v>2</v>
      </c>
      <c r="P35" s="2" t="s">
        <v>77</v>
      </c>
    </row>
    <row r="36" spans="1:17" ht="12.5" x14ac:dyDescent="0.25">
      <c r="A36" s="1" t="s">
        <v>22</v>
      </c>
      <c r="B36" s="1">
        <v>1000</v>
      </c>
      <c r="D36" s="1" t="s">
        <v>22</v>
      </c>
      <c r="E36" s="1">
        <v>1000</v>
      </c>
      <c r="G36" s="1" t="s">
        <v>22</v>
      </c>
      <c r="H36" s="1">
        <v>1000</v>
      </c>
      <c r="J36" s="1" t="s">
        <v>22</v>
      </c>
      <c r="K36" s="1">
        <v>1000</v>
      </c>
      <c r="M36" s="1" t="s">
        <v>22</v>
      </c>
      <c r="N36" s="1">
        <v>1000</v>
      </c>
      <c r="P36">
        <f>B40+E40+H40+K40+N41</f>
        <v>3730.43</v>
      </c>
    </row>
    <row r="37" spans="1:17" ht="12.5" x14ac:dyDescent="0.25">
      <c r="A37" s="1" t="s">
        <v>23</v>
      </c>
      <c r="B37" s="1">
        <v>530</v>
      </c>
      <c r="D37" s="1" t="s">
        <v>23</v>
      </c>
      <c r="E37" s="1">
        <v>530</v>
      </c>
      <c r="G37" s="1" t="s">
        <v>23</v>
      </c>
      <c r="H37" s="1">
        <v>530</v>
      </c>
      <c r="J37" s="1" t="s">
        <v>23</v>
      </c>
      <c r="K37" s="1">
        <v>530</v>
      </c>
      <c r="M37" s="1" t="s">
        <v>23</v>
      </c>
      <c r="N37" s="1">
        <v>530</v>
      </c>
    </row>
    <row r="38" spans="1:17" ht="12.5" x14ac:dyDescent="0.25">
      <c r="A38" s="1" t="s">
        <v>25</v>
      </c>
      <c r="B38" s="1">
        <f>B7+B12+B17+B23+B29</f>
        <v>1037.82</v>
      </c>
      <c r="D38" s="1" t="s">
        <v>25</v>
      </c>
      <c r="E38" s="1">
        <f>E7+E12+E19+E25</f>
        <v>830.06000000000006</v>
      </c>
      <c r="G38" s="1" t="s">
        <v>25</v>
      </c>
      <c r="H38" s="1">
        <f>H7+H12+H19+H25+H31</f>
        <v>638.21</v>
      </c>
      <c r="J38" s="1" t="s">
        <v>25</v>
      </c>
      <c r="K38">
        <v>756.5</v>
      </c>
      <c r="M38" s="1" t="s">
        <v>57</v>
      </c>
      <c r="N38">
        <v>100</v>
      </c>
      <c r="P38" s="36">
        <f>P36-P39-P40</f>
        <v>2610.4299999999998</v>
      </c>
      <c r="Q38" t="s">
        <v>8</v>
      </c>
    </row>
    <row r="39" spans="1:17" ht="12.5" x14ac:dyDescent="0.25">
      <c r="A39" s="1"/>
      <c r="M39" s="1" t="s">
        <v>25</v>
      </c>
      <c r="N39">
        <f>N7+N12+N17+N22</f>
        <v>756.98</v>
      </c>
      <c r="P39" s="36">
        <v>520</v>
      </c>
      <c r="Q39" t="s">
        <v>78</v>
      </c>
    </row>
    <row r="40" spans="1:17" ht="12.5" x14ac:dyDescent="0.25">
      <c r="A40" s="1" t="s">
        <v>26</v>
      </c>
      <c r="B40" s="15">
        <f>B36+B37-B38</f>
        <v>492.18000000000006</v>
      </c>
      <c r="C40" t="s">
        <v>8</v>
      </c>
      <c r="D40" s="1" t="s">
        <v>26</v>
      </c>
      <c r="E40" s="20">
        <f>E36+E37-E38</f>
        <v>699.93999999999994</v>
      </c>
      <c r="F40" t="s">
        <v>51</v>
      </c>
      <c r="G40" s="1" t="s">
        <v>26</v>
      </c>
      <c r="H40" s="22">
        <f>H36+H37-H38</f>
        <v>891.79</v>
      </c>
      <c r="I40" t="s">
        <v>8</v>
      </c>
      <c r="J40" s="1" t="s">
        <v>26</v>
      </c>
      <c r="K40" s="23">
        <v>773.5</v>
      </c>
      <c r="L40" t="s">
        <v>8</v>
      </c>
      <c r="P40" s="36">
        <v>600</v>
      </c>
      <c r="Q40" t="s">
        <v>79</v>
      </c>
    </row>
    <row r="41" spans="1:17" ht="12.5" x14ac:dyDescent="0.25">
      <c r="A41" s="11"/>
      <c r="B41" s="11"/>
      <c r="M41" s="1" t="s">
        <v>26</v>
      </c>
      <c r="N41" s="23">
        <f>N36+N37+N38-N39</f>
        <v>873.02</v>
      </c>
    </row>
    <row r="42" spans="1:17" ht="12.5" x14ac:dyDescent="0.25">
      <c r="B42" s="8"/>
    </row>
    <row r="43" spans="1:17" ht="12.5" x14ac:dyDescent="0.25">
      <c r="B43" s="8"/>
    </row>
    <row r="44" spans="1:17" ht="12.5" x14ac:dyDescent="0.25">
      <c r="B44" s="8"/>
    </row>
    <row r="45" spans="1:17" ht="12.5" x14ac:dyDescent="0.25">
      <c r="B45" s="8"/>
    </row>
    <row r="46" spans="1:17" ht="12.5" x14ac:dyDescent="0.25">
      <c r="B46" s="8"/>
    </row>
    <row r="47" spans="1:17" ht="12.5" x14ac:dyDescent="0.25">
      <c r="B47" s="8"/>
    </row>
    <row r="48" spans="1:17" ht="12.5" x14ac:dyDescent="0.25">
      <c r="B48" s="8"/>
    </row>
    <row r="49" spans="2:2" ht="12.5" x14ac:dyDescent="0.25">
      <c r="B49" s="8"/>
    </row>
    <row r="50" spans="2:2" ht="12.5" x14ac:dyDescent="0.25">
      <c r="B50" s="8"/>
    </row>
    <row r="51" spans="2:2" ht="12.5" x14ac:dyDescent="0.25">
      <c r="B51" s="8"/>
    </row>
    <row r="52" spans="2:2" ht="12.5" x14ac:dyDescent="0.25">
      <c r="B52" s="8"/>
    </row>
    <row r="53" spans="2:2" ht="12.5" x14ac:dyDescent="0.25">
      <c r="B53" s="8"/>
    </row>
    <row r="54" spans="2:2" ht="12.5" x14ac:dyDescent="0.25">
      <c r="B54" s="8"/>
    </row>
    <row r="55" spans="2:2" ht="12.5" x14ac:dyDescent="0.25">
      <c r="B55" s="8"/>
    </row>
    <row r="56" spans="2:2" ht="12.5" x14ac:dyDescent="0.25">
      <c r="B56" s="8"/>
    </row>
    <row r="57" spans="2:2" ht="12.5" x14ac:dyDescent="0.25">
      <c r="B57" s="8"/>
    </row>
    <row r="58" spans="2:2" ht="12.5" x14ac:dyDescent="0.25">
      <c r="B58" s="8"/>
    </row>
    <row r="59" spans="2:2" ht="12.5" x14ac:dyDescent="0.25">
      <c r="B59" s="8"/>
    </row>
    <row r="60" spans="2:2" ht="12.5" x14ac:dyDescent="0.25">
      <c r="B60" s="8"/>
    </row>
    <row r="61" spans="2:2" ht="12.5" x14ac:dyDescent="0.25">
      <c r="B61" s="8"/>
    </row>
    <row r="62" spans="2:2" ht="12.5" x14ac:dyDescent="0.25">
      <c r="B62" s="8"/>
    </row>
    <row r="63" spans="2:2" ht="12.5" x14ac:dyDescent="0.25">
      <c r="B63" s="8"/>
    </row>
    <row r="64" spans="2:2" ht="12.5" x14ac:dyDescent="0.25">
      <c r="B64" s="8"/>
    </row>
    <row r="65" spans="2:2" ht="12.5" x14ac:dyDescent="0.25">
      <c r="B65" s="8"/>
    </row>
    <row r="66" spans="2:2" ht="12.5" x14ac:dyDescent="0.25">
      <c r="B66" s="8"/>
    </row>
    <row r="67" spans="2:2" ht="12.5" x14ac:dyDescent="0.25">
      <c r="B67" s="8"/>
    </row>
    <row r="68" spans="2:2" ht="12.5" x14ac:dyDescent="0.25">
      <c r="B68" s="8"/>
    </row>
    <row r="69" spans="2:2" ht="12.5" x14ac:dyDescent="0.25">
      <c r="B69" s="8"/>
    </row>
    <row r="70" spans="2:2" ht="12.5" x14ac:dyDescent="0.25">
      <c r="B70" s="8"/>
    </row>
    <row r="71" spans="2:2" ht="12.5" x14ac:dyDescent="0.25">
      <c r="B71" s="8"/>
    </row>
    <row r="72" spans="2:2" ht="12.5" x14ac:dyDescent="0.25">
      <c r="B72" s="8"/>
    </row>
    <row r="73" spans="2:2" ht="12.5" x14ac:dyDescent="0.25">
      <c r="B73" s="8"/>
    </row>
    <row r="74" spans="2:2" ht="12.5" x14ac:dyDescent="0.25">
      <c r="B74" s="8"/>
    </row>
    <row r="75" spans="2:2" ht="12.5" x14ac:dyDescent="0.25">
      <c r="B75" s="8"/>
    </row>
    <row r="76" spans="2:2" ht="12.5" x14ac:dyDescent="0.25">
      <c r="B76" s="8"/>
    </row>
    <row r="77" spans="2:2" ht="12.5" x14ac:dyDescent="0.25">
      <c r="B77" s="8"/>
    </row>
    <row r="78" spans="2:2" ht="12.5" x14ac:dyDescent="0.25">
      <c r="B78" s="8"/>
    </row>
    <row r="79" spans="2:2" ht="12.5" x14ac:dyDescent="0.25">
      <c r="B79" s="8"/>
    </row>
    <row r="80" spans="2:2" ht="12.5" x14ac:dyDescent="0.25">
      <c r="B80" s="8"/>
    </row>
    <row r="81" spans="2:2" ht="12.5" x14ac:dyDescent="0.25">
      <c r="B81" s="8"/>
    </row>
    <row r="82" spans="2:2" ht="12.5" x14ac:dyDescent="0.25">
      <c r="B82" s="8"/>
    </row>
    <row r="83" spans="2:2" ht="12.5" x14ac:dyDescent="0.25">
      <c r="B83" s="8"/>
    </row>
    <row r="84" spans="2:2" ht="12.5" x14ac:dyDescent="0.25">
      <c r="B84" s="8"/>
    </row>
    <row r="85" spans="2:2" ht="12.5" x14ac:dyDescent="0.25">
      <c r="B85" s="8"/>
    </row>
    <row r="86" spans="2:2" ht="12.5" x14ac:dyDescent="0.25">
      <c r="B86" s="8"/>
    </row>
    <row r="87" spans="2:2" ht="12.5" x14ac:dyDescent="0.25">
      <c r="B87" s="8"/>
    </row>
    <row r="88" spans="2:2" ht="12.5" x14ac:dyDescent="0.25">
      <c r="B88" s="8"/>
    </row>
    <row r="89" spans="2:2" ht="12.5" x14ac:dyDescent="0.25">
      <c r="B89" s="8"/>
    </row>
    <row r="90" spans="2:2" ht="12.5" x14ac:dyDescent="0.25">
      <c r="B90" s="8"/>
    </row>
    <row r="91" spans="2:2" ht="12.5" x14ac:dyDescent="0.25">
      <c r="B91" s="8"/>
    </row>
    <row r="92" spans="2:2" ht="12.5" x14ac:dyDescent="0.25">
      <c r="B92" s="8"/>
    </row>
    <row r="93" spans="2:2" ht="12.5" x14ac:dyDescent="0.25">
      <c r="B93" s="8"/>
    </row>
    <row r="94" spans="2:2" ht="12.5" x14ac:dyDescent="0.25">
      <c r="B94" s="8"/>
    </row>
    <row r="95" spans="2:2" ht="12.5" x14ac:dyDescent="0.25">
      <c r="B95" s="8"/>
    </row>
    <row r="96" spans="2:2" ht="12.5" x14ac:dyDescent="0.25">
      <c r="B96" s="8"/>
    </row>
    <row r="97" spans="2:2" ht="12.5" x14ac:dyDescent="0.25">
      <c r="B97" s="8"/>
    </row>
    <row r="98" spans="2:2" ht="12.5" x14ac:dyDescent="0.25">
      <c r="B98" s="8"/>
    </row>
    <row r="99" spans="2:2" ht="12.5" x14ac:dyDescent="0.25">
      <c r="B99" s="8"/>
    </row>
    <row r="100" spans="2:2" ht="12.5" x14ac:dyDescent="0.25">
      <c r="B100" s="8"/>
    </row>
    <row r="101" spans="2:2" ht="12.5" x14ac:dyDescent="0.25">
      <c r="B101" s="8"/>
    </row>
    <row r="102" spans="2:2" ht="12.5" x14ac:dyDescent="0.25">
      <c r="B102" s="8"/>
    </row>
    <row r="103" spans="2:2" ht="12.5" x14ac:dyDescent="0.25">
      <c r="B103" s="8"/>
    </row>
    <row r="104" spans="2:2" ht="12.5" x14ac:dyDescent="0.25">
      <c r="B104" s="8"/>
    </row>
    <row r="105" spans="2:2" ht="12.5" x14ac:dyDescent="0.25">
      <c r="B105" s="8"/>
    </row>
    <row r="106" spans="2:2" ht="12.5" x14ac:dyDescent="0.25">
      <c r="B106" s="8"/>
    </row>
    <row r="107" spans="2:2" ht="12.5" x14ac:dyDescent="0.25">
      <c r="B107" s="8"/>
    </row>
    <row r="108" spans="2:2" ht="12.5" x14ac:dyDescent="0.25">
      <c r="B108" s="8"/>
    </row>
    <row r="109" spans="2:2" ht="12.5" x14ac:dyDescent="0.25">
      <c r="B109" s="8"/>
    </row>
    <row r="110" spans="2:2" ht="12.5" x14ac:dyDescent="0.25">
      <c r="B110" s="8"/>
    </row>
    <row r="111" spans="2:2" ht="12.5" x14ac:dyDescent="0.25">
      <c r="B111" s="8"/>
    </row>
    <row r="112" spans="2:2" ht="12.5" x14ac:dyDescent="0.25">
      <c r="B112" s="8"/>
    </row>
    <row r="113" spans="2:2" ht="12.5" x14ac:dyDescent="0.25">
      <c r="B113" s="8"/>
    </row>
    <row r="114" spans="2:2" ht="12.5" x14ac:dyDescent="0.25">
      <c r="B114" s="8"/>
    </row>
    <row r="115" spans="2:2" ht="12.5" x14ac:dyDescent="0.25">
      <c r="B115" s="8"/>
    </row>
    <row r="116" spans="2:2" ht="12.5" x14ac:dyDescent="0.25">
      <c r="B116" s="8"/>
    </row>
    <row r="117" spans="2:2" ht="12.5" x14ac:dyDescent="0.25">
      <c r="B117" s="8"/>
    </row>
    <row r="118" spans="2:2" ht="12.5" x14ac:dyDescent="0.25">
      <c r="B118" s="8"/>
    </row>
    <row r="119" spans="2:2" ht="12.5" x14ac:dyDescent="0.25">
      <c r="B119" s="8"/>
    </row>
    <row r="120" spans="2:2" ht="12.5" x14ac:dyDescent="0.25">
      <c r="B120" s="8"/>
    </row>
    <row r="121" spans="2:2" ht="12.5" x14ac:dyDescent="0.25">
      <c r="B121" s="8"/>
    </row>
    <row r="122" spans="2:2" ht="12.5" x14ac:dyDescent="0.25">
      <c r="B122" s="8"/>
    </row>
    <row r="123" spans="2:2" ht="12.5" x14ac:dyDescent="0.25">
      <c r="B123" s="8"/>
    </row>
    <row r="124" spans="2:2" ht="12.5" x14ac:dyDescent="0.25">
      <c r="B124" s="8"/>
    </row>
    <row r="125" spans="2:2" ht="12.5" x14ac:dyDescent="0.25">
      <c r="B125" s="8"/>
    </row>
    <row r="126" spans="2:2" ht="12.5" x14ac:dyDescent="0.25">
      <c r="B126" s="8"/>
    </row>
    <row r="127" spans="2:2" ht="12.5" x14ac:dyDescent="0.25">
      <c r="B127" s="8"/>
    </row>
    <row r="128" spans="2:2" ht="12.5" x14ac:dyDescent="0.25">
      <c r="B128" s="8"/>
    </row>
    <row r="129" spans="2:2" ht="12.5" x14ac:dyDescent="0.25">
      <c r="B129" s="8"/>
    </row>
    <row r="130" spans="2:2" ht="12.5" x14ac:dyDescent="0.25">
      <c r="B130" s="8"/>
    </row>
    <row r="131" spans="2:2" ht="12.5" x14ac:dyDescent="0.25">
      <c r="B131" s="8"/>
    </row>
    <row r="132" spans="2:2" ht="12.5" x14ac:dyDescent="0.25">
      <c r="B132" s="8"/>
    </row>
    <row r="133" spans="2:2" ht="12.5" x14ac:dyDescent="0.25">
      <c r="B133" s="8"/>
    </row>
    <row r="134" spans="2:2" ht="12.5" x14ac:dyDescent="0.25">
      <c r="B134" s="8"/>
    </row>
    <row r="135" spans="2:2" ht="12.5" x14ac:dyDescent="0.25">
      <c r="B135" s="8"/>
    </row>
    <row r="136" spans="2:2" ht="12.5" x14ac:dyDescent="0.25">
      <c r="B136" s="8"/>
    </row>
    <row r="137" spans="2:2" ht="12.5" x14ac:dyDescent="0.25">
      <c r="B137" s="8"/>
    </row>
    <row r="138" spans="2:2" ht="12.5" x14ac:dyDescent="0.25">
      <c r="B138" s="8"/>
    </row>
    <row r="139" spans="2:2" ht="12.5" x14ac:dyDescent="0.25">
      <c r="B139" s="8"/>
    </row>
    <row r="140" spans="2:2" ht="12.5" x14ac:dyDescent="0.25">
      <c r="B140" s="8"/>
    </row>
    <row r="141" spans="2:2" ht="12.5" x14ac:dyDescent="0.25">
      <c r="B141" s="8"/>
    </row>
    <row r="142" spans="2:2" ht="12.5" x14ac:dyDescent="0.25">
      <c r="B142" s="8"/>
    </row>
    <row r="143" spans="2:2" ht="12.5" x14ac:dyDescent="0.25">
      <c r="B143" s="8"/>
    </row>
    <row r="144" spans="2:2" ht="12.5" x14ac:dyDescent="0.25">
      <c r="B144" s="8"/>
    </row>
    <row r="145" spans="2:2" ht="12.5" x14ac:dyDescent="0.25">
      <c r="B145" s="8"/>
    </row>
    <row r="146" spans="2:2" ht="12.5" x14ac:dyDescent="0.25">
      <c r="B146" s="8"/>
    </row>
    <row r="147" spans="2:2" ht="12.5" x14ac:dyDescent="0.25">
      <c r="B147" s="8"/>
    </row>
    <row r="148" spans="2:2" ht="12.5" x14ac:dyDescent="0.25">
      <c r="B148" s="8"/>
    </row>
    <row r="149" spans="2:2" ht="12.5" x14ac:dyDescent="0.25">
      <c r="B149" s="8"/>
    </row>
    <row r="150" spans="2:2" ht="12.5" x14ac:dyDescent="0.25">
      <c r="B150" s="8"/>
    </row>
    <row r="151" spans="2:2" ht="12.5" x14ac:dyDescent="0.25">
      <c r="B151" s="8"/>
    </row>
    <row r="152" spans="2:2" ht="12.5" x14ac:dyDescent="0.25">
      <c r="B152" s="8"/>
    </row>
    <row r="153" spans="2:2" ht="12.5" x14ac:dyDescent="0.25">
      <c r="B153" s="8"/>
    </row>
    <row r="154" spans="2:2" ht="12.5" x14ac:dyDescent="0.25">
      <c r="B154" s="8"/>
    </row>
    <row r="155" spans="2:2" ht="12.5" x14ac:dyDescent="0.25">
      <c r="B155" s="8"/>
    </row>
    <row r="156" spans="2:2" ht="12.5" x14ac:dyDescent="0.25">
      <c r="B156" s="8"/>
    </row>
    <row r="157" spans="2:2" ht="12.5" x14ac:dyDescent="0.25">
      <c r="B157" s="8"/>
    </row>
    <row r="158" spans="2:2" ht="12.5" x14ac:dyDescent="0.25">
      <c r="B158" s="8"/>
    </row>
    <row r="159" spans="2:2" ht="12.5" x14ac:dyDescent="0.25">
      <c r="B159" s="8"/>
    </row>
    <row r="160" spans="2:2" ht="12.5" x14ac:dyDescent="0.25">
      <c r="B160" s="8"/>
    </row>
    <row r="161" spans="2:2" ht="12.5" x14ac:dyDescent="0.25">
      <c r="B161" s="8"/>
    </row>
    <row r="162" spans="2:2" ht="12.5" x14ac:dyDescent="0.25">
      <c r="B162" s="8"/>
    </row>
    <row r="163" spans="2:2" ht="12.5" x14ac:dyDescent="0.25">
      <c r="B163" s="8"/>
    </row>
    <row r="164" spans="2:2" ht="12.5" x14ac:dyDescent="0.25">
      <c r="B164" s="8"/>
    </row>
    <row r="165" spans="2:2" ht="12.5" x14ac:dyDescent="0.25">
      <c r="B165" s="8"/>
    </row>
    <row r="166" spans="2:2" ht="12.5" x14ac:dyDescent="0.25">
      <c r="B166" s="8"/>
    </row>
    <row r="167" spans="2:2" ht="12.5" x14ac:dyDescent="0.25">
      <c r="B167" s="8"/>
    </row>
    <row r="168" spans="2:2" ht="12.5" x14ac:dyDescent="0.25">
      <c r="B168" s="8"/>
    </row>
    <row r="169" spans="2:2" ht="12.5" x14ac:dyDescent="0.25">
      <c r="B169" s="8"/>
    </row>
    <row r="170" spans="2:2" ht="12.5" x14ac:dyDescent="0.25">
      <c r="B170" s="8"/>
    </row>
    <row r="171" spans="2:2" ht="12.5" x14ac:dyDescent="0.25">
      <c r="B171" s="8"/>
    </row>
    <row r="172" spans="2:2" ht="12.5" x14ac:dyDescent="0.25">
      <c r="B172" s="8"/>
    </row>
    <row r="173" spans="2:2" ht="12.5" x14ac:dyDescent="0.25">
      <c r="B173" s="8"/>
    </row>
    <row r="174" spans="2:2" ht="12.5" x14ac:dyDescent="0.25">
      <c r="B174" s="8"/>
    </row>
    <row r="175" spans="2:2" ht="12.5" x14ac:dyDescent="0.25">
      <c r="B175" s="8"/>
    </row>
    <row r="176" spans="2:2" ht="12.5" x14ac:dyDescent="0.25">
      <c r="B176" s="8"/>
    </row>
    <row r="177" spans="2:2" ht="12.5" x14ac:dyDescent="0.25">
      <c r="B177" s="8"/>
    </row>
    <row r="178" spans="2:2" ht="12.5" x14ac:dyDescent="0.25">
      <c r="B178" s="8"/>
    </row>
    <row r="179" spans="2:2" ht="12.5" x14ac:dyDescent="0.25">
      <c r="B179" s="8"/>
    </row>
    <row r="180" spans="2:2" ht="12.5" x14ac:dyDescent="0.25">
      <c r="B180" s="8"/>
    </row>
    <row r="181" spans="2:2" ht="12.5" x14ac:dyDescent="0.25">
      <c r="B181" s="8"/>
    </row>
    <row r="182" spans="2:2" ht="12.5" x14ac:dyDescent="0.25">
      <c r="B182" s="8"/>
    </row>
    <row r="183" spans="2:2" ht="12.5" x14ac:dyDescent="0.25">
      <c r="B183" s="8"/>
    </row>
    <row r="184" spans="2:2" ht="12.5" x14ac:dyDescent="0.25">
      <c r="B184" s="8"/>
    </row>
    <row r="185" spans="2:2" ht="12.5" x14ac:dyDescent="0.25">
      <c r="B185" s="8"/>
    </row>
    <row r="186" spans="2:2" ht="12.5" x14ac:dyDescent="0.25">
      <c r="B186" s="8"/>
    </row>
    <row r="187" spans="2:2" ht="12.5" x14ac:dyDescent="0.25">
      <c r="B187" s="8"/>
    </row>
    <row r="188" spans="2:2" ht="12.5" x14ac:dyDescent="0.25">
      <c r="B188" s="8"/>
    </row>
    <row r="189" spans="2:2" ht="12.5" x14ac:dyDescent="0.25">
      <c r="B189" s="8"/>
    </row>
    <row r="190" spans="2:2" ht="12.5" x14ac:dyDescent="0.25">
      <c r="B190" s="8"/>
    </row>
    <row r="191" spans="2:2" ht="12.5" x14ac:dyDescent="0.25">
      <c r="B191" s="8"/>
    </row>
    <row r="192" spans="2:2" ht="12.5" x14ac:dyDescent="0.25">
      <c r="B192" s="8"/>
    </row>
    <row r="193" spans="2:2" ht="12.5" x14ac:dyDescent="0.25">
      <c r="B193" s="8"/>
    </row>
    <row r="194" spans="2:2" ht="12.5" x14ac:dyDescent="0.25">
      <c r="B194" s="8"/>
    </row>
    <row r="195" spans="2:2" ht="12.5" x14ac:dyDescent="0.25">
      <c r="B195" s="8"/>
    </row>
    <row r="196" spans="2:2" ht="12.5" x14ac:dyDescent="0.25">
      <c r="B196" s="8"/>
    </row>
    <row r="197" spans="2:2" ht="12.5" x14ac:dyDescent="0.25">
      <c r="B197" s="8"/>
    </row>
    <row r="198" spans="2:2" ht="12.5" x14ac:dyDescent="0.25">
      <c r="B198" s="8"/>
    </row>
    <row r="199" spans="2:2" ht="12.5" x14ac:dyDescent="0.25">
      <c r="B199" s="8"/>
    </row>
    <row r="200" spans="2:2" ht="12.5" x14ac:dyDescent="0.25">
      <c r="B200" s="8"/>
    </row>
    <row r="201" spans="2:2" ht="12.5" x14ac:dyDescent="0.25">
      <c r="B201" s="8"/>
    </row>
    <row r="202" spans="2:2" ht="12.5" x14ac:dyDescent="0.25">
      <c r="B202" s="8"/>
    </row>
    <row r="203" spans="2:2" ht="12.5" x14ac:dyDescent="0.25">
      <c r="B203" s="8"/>
    </row>
    <row r="204" spans="2:2" ht="12.5" x14ac:dyDescent="0.25">
      <c r="B204" s="8"/>
    </row>
    <row r="205" spans="2:2" ht="12.5" x14ac:dyDescent="0.25">
      <c r="B205" s="8"/>
    </row>
    <row r="206" spans="2:2" ht="12.5" x14ac:dyDescent="0.25">
      <c r="B206" s="8"/>
    </row>
    <row r="207" spans="2:2" ht="12.5" x14ac:dyDescent="0.25">
      <c r="B207" s="8"/>
    </row>
    <row r="208" spans="2:2" ht="12.5" x14ac:dyDescent="0.25">
      <c r="B208" s="8"/>
    </row>
    <row r="209" spans="2:2" ht="12.5" x14ac:dyDescent="0.25">
      <c r="B209" s="8"/>
    </row>
    <row r="210" spans="2:2" ht="12.5" x14ac:dyDescent="0.25">
      <c r="B210" s="8"/>
    </row>
    <row r="211" spans="2:2" ht="12.5" x14ac:dyDescent="0.25">
      <c r="B211" s="8"/>
    </row>
    <row r="212" spans="2:2" ht="12.5" x14ac:dyDescent="0.25">
      <c r="B212" s="8"/>
    </row>
    <row r="213" spans="2:2" ht="12.5" x14ac:dyDescent="0.25">
      <c r="B213" s="8"/>
    </row>
    <row r="214" spans="2:2" ht="12.5" x14ac:dyDescent="0.25">
      <c r="B214" s="8"/>
    </row>
    <row r="215" spans="2:2" ht="12.5" x14ac:dyDescent="0.25">
      <c r="B215" s="8"/>
    </row>
    <row r="216" spans="2:2" ht="12.5" x14ac:dyDescent="0.25">
      <c r="B216" s="8"/>
    </row>
    <row r="217" spans="2:2" ht="12.5" x14ac:dyDescent="0.25">
      <c r="B217" s="8"/>
    </row>
    <row r="218" spans="2:2" ht="12.5" x14ac:dyDescent="0.25">
      <c r="B218" s="8"/>
    </row>
    <row r="219" spans="2:2" ht="12.5" x14ac:dyDescent="0.25">
      <c r="B219" s="8"/>
    </row>
    <row r="220" spans="2:2" ht="12.5" x14ac:dyDescent="0.25">
      <c r="B220" s="8"/>
    </row>
    <row r="221" spans="2:2" ht="12.5" x14ac:dyDescent="0.25">
      <c r="B221" s="8"/>
    </row>
    <row r="222" spans="2:2" ht="12.5" x14ac:dyDescent="0.25">
      <c r="B222" s="8"/>
    </row>
    <row r="223" spans="2:2" ht="12.5" x14ac:dyDescent="0.25">
      <c r="B223" s="8"/>
    </row>
    <row r="224" spans="2:2" ht="12.5" x14ac:dyDescent="0.25">
      <c r="B224" s="8"/>
    </row>
    <row r="225" spans="2:2" ht="12.5" x14ac:dyDescent="0.25">
      <c r="B225" s="8"/>
    </row>
    <row r="226" spans="2:2" ht="12.5" x14ac:dyDescent="0.25">
      <c r="B226" s="8"/>
    </row>
    <row r="227" spans="2:2" ht="12.5" x14ac:dyDescent="0.25">
      <c r="B227" s="8"/>
    </row>
    <row r="228" spans="2:2" ht="12.5" x14ac:dyDescent="0.25">
      <c r="B228" s="8"/>
    </row>
    <row r="229" spans="2:2" ht="12.5" x14ac:dyDescent="0.25">
      <c r="B229" s="8"/>
    </row>
    <row r="230" spans="2:2" ht="12.5" x14ac:dyDescent="0.25">
      <c r="B230" s="8"/>
    </row>
    <row r="231" spans="2:2" ht="12.5" x14ac:dyDescent="0.25">
      <c r="B231" s="8"/>
    </row>
    <row r="232" spans="2:2" ht="12.5" x14ac:dyDescent="0.25">
      <c r="B232" s="8"/>
    </row>
    <row r="233" spans="2:2" ht="12.5" x14ac:dyDescent="0.25">
      <c r="B233" s="8"/>
    </row>
    <row r="234" spans="2:2" ht="12.5" x14ac:dyDescent="0.25">
      <c r="B234" s="8"/>
    </row>
    <row r="235" spans="2:2" ht="12.5" x14ac:dyDescent="0.25">
      <c r="B235" s="8"/>
    </row>
    <row r="236" spans="2:2" ht="12.5" x14ac:dyDescent="0.25">
      <c r="B236" s="8"/>
    </row>
    <row r="237" spans="2:2" ht="12.5" x14ac:dyDescent="0.25">
      <c r="B237" s="8"/>
    </row>
    <row r="238" spans="2:2" ht="12.5" x14ac:dyDescent="0.25">
      <c r="B238" s="8"/>
    </row>
    <row r="239" spans="2:2" ht="12.5" x14ac:dyDescent="0.25">
      <c r="B239" s="8"/>
    </row>
    <row r="240" spans="2:2" ht="12.5" x14ac:dyDescent="0.25">
      <c r="B240" s="8"/>
    </row>
    <row r="241" spans="2:2" ht="12.5" x14ac:dyDescent="0.25">
      <c r="B241" s="8"/>
    </row>
    <row r="242" spans="2:2" ht="12.5" x14ac:dyDescent="0.25">
      <c r="B242" s="8"/>
    </row>
    <row r="243" spans="2:2" ht="12.5" x14ac:dyDescent="0.25">
      <c r="B243" s="8"/>
    </row>
    <row r="244" spans="2:2" ht="12.5" x14ac:dyDescent="0.25">
      <c r="B244" s="8"/>
    </row>
    <row r="245" spans="2:2" ht="12.5" x14ac:dyDescent="0.25">
      <c r="B245" s="8"/>
    </row>
    <row r="246" spans="2:2" ht="12.5" x14ac:dyDescent="0.25">
      <c r="B246" s="8"/>
    </row>
    <row r="247" spans="2:2" ht="12.5" x14ac:dyDescent="0.25">
      <c r="B247" s="8"/>
    </row>
    <row r="248" spans="2:2" ht="12.5" x14ac:dyDescent="0.25">
      <c r="B248" s="8"/>
    </row>
    <row r="249" spans="2:2" ht="12.5" x14ac:dyDescent="0.25">
      <c r="B249" s="8"/>
    </row>
    <row r="250" spans="2:2" ht="12.5" x14ac:dyDescent="0.25">
      <c r="B250" s="8"/>
    </row>
    <row r="251" spans="2:2" ht="12.5" x14ac:dyDescent="0.25">
      <c r="B251" s="8"/>
    </row>
    <row r="252" spans="2:2" ht="12.5" x14ac:dyDescent="0.25">
      <c r="B252" s="8"/>
    </row>
    <row r="253" spans="2:2" ht="12.5" x14ac:dyDescent="0.25">
      <c r="B253" s="8"/>
    </row>
    <row r="254" spans="2:2" ht="12.5" x14ac:dyDescent="0.25">
      <c r="B254" s="8"/>
    </row>
    <row r="255" spans="2:2" ht="12.5" x14ac:dyDescent="0.25">
      <c r="B255" s="8"/>
    </row>
    <row r="256" spans="2:2" ht="12.5" x14ac:dyDescent="0.25">
      <c r="B256" s="8"/>
    </row>
    <row r="257" spans="2:2" ht="12.5" x14ac:dyDescent="0.25">
      <c r="B257" s="8"/>
    </row>
    <row r="258" spans="2:2" ht="12.5" x14ac:dyDescent="0.25">
      <c r="B258" s="8"/>
    </row>
    <row r="259" spans="2:2" ht="12.5" x14ac:dyDescent="0.25">
      <c r="B259" s="8"/>
    </row>
    <row r="260" spans="2:2" ht="12.5" x14ac:dyDescent="0.25">
      <c r="B260" s="8"/>
    </row>
    <row r="261" spans="2:2" ht="12.5" x14ac:dyDescent="0.25">
      <c r="B261" s="8"/>
    </row>
    <row r="262" spans="2:2" ht="12.5" x14ac:dyDescent="0.25">
      <c r="B262" s="8"/>
    </row>
    <row r="263" spans="2:2" ht="12.5" x14ac:dyDescent="0.25">
      <c r="B263" s="8"/>
    </row>
    <row r="264" spans="2:2" ht="12.5" x14ac:dyDescent="0.25">
      <c r="B264" s="8"/>
    </row>
    <row r="265" spans="2:2" ht="12.5" x14ac:dyDescent="0.25">
      <c r="B265" s="8"/>
    </row>
    <row r="266" spans="2:2" ht="12.5" x14ac:dyDescent="0.25">
      <c r="B266" s="8"/>
    </row>
    <row r="267" spans="2:2" ht="12.5" x14ac:dyDescent="0.25">
      <c r="B267" s="8"/>
    </row>
    <row r="268" spans="2:2" ht="12.5" x14ac:dyDescent="0.25">
      <c r="B268" s="8"/>
    </row>
    <row r="269" spans="2:2" ht="12.5" x14ac:dyDescent="0.25">
      <c r="B269" s="8"/>
    </row>
    <row r="270" spans="2:2" ht="12.5" x14ac:dyDescent="0.25">
      <c r="B270" s="8"/>
    </row>
    <row r="271" spans="2:2" ht="12.5" x14ac:dyDescent="0.25">
      <c r="B271" s="8"/>
    </row>
    <row r="272" spans="2:2" ht="12.5" x14ac:dyDescent="0.25">
      <c r="B272" s="8"/>
    </row>
    <row r="273" spans="2:2" ht="12.5" x14ac:dyDescent="0.25">
      <c r="B273" s="8"/>
    </row>
    <row r="274" spans="2:2" ht="12.5" x14ac:dyDescent="0.25">
      <c r="B274" s="8"/>
    </row>
    <row r="275" spans="2:2" ht="12.5" x14ac:dyDescent="0.25">
      <c r="B275" s="8"/>
    </row>
    <row r="276" spans="2:2" ht="12.5" x14ac:dyDescent="0.25">
      <c r="B276" s="8"/>
    </row>
    <row r="277" spans="2:2" ht="12.5" x14ac:dyDescent="0.25">
      <c r="B277" s="8"/>
    </row>
    <row r="278" spans="2:2" ht="12.5" x14ac:dyDescent="0.25">
      <c r="B278" s="8"/>
    </row>
    <row r="279" spans="2:2" ht="12.5" x14ac:dyDescent="0.25">
      <c r="B279" s="8"/>
    </row>
    <row r="280" spans="2:2" ht="12.5" x14ac:dyDescent="0.25">
      <c r="B280" s="8"/>
    </row>
    <row r="281" spans="2:2" ht="12.5" x14ac:dyDescent="0.25">
      <c r="B281" s="8"/>
    </row>
    <row r="282" spans="2:2" ht="12.5" x14ac:dyDescent="0.25">
      <c r="B282" s="8"/>
    </row>
    <row r="283" spans="2:2" ht="12.5" x14ac:dyDescent="0.25">
      <c r="B283" s="8"/>
    </row>
    <row r="284" spans="2:2" ht="12.5" x14ac:dyDescent="0.25">
      <c r="B284" s="8"/>
    </row>
    <row r="285" spans="2:2" ht="12.5" x14ac:dyDescent="0.25">
      <c r="B285" s="8"/>
    </row>
    <row r="286" spans="2:2" ht="12.5" x14ac:dyDescent="0.25">
      <c r="B286" s="8"/>
    </row>
    <row r="287" spans="2:2" ht="12.5" x14ac:dyDescent="0.25">
      <c r="B287" s="8"/>
    </row>
    <row r="288" spans="2:2" ht="12.5" x14ac:dyDescent="0.25">
      <c r="B288" s="8"/>
    </row>
    <row r="289" spans="2:2" ht="12.5" x14ac:dyDescent="0.25">
      <c r="B289" s="8"/>
    </row>
    <row r="290" spans="2:2" ht="12.5" x14ac:dyDescent="0.25">
      <c r="B290" s="8"/>
    </row>
    <row r="291" spans="2:2" ht="12.5" x14ac:dyDescent="0.25">
      <c r="B291" s="8"/>
    </row>
    <row r="292" spans="2:2" ht="12.5" x14ac:dyDescent="0.25">
      <c r="B292" s="8"/>
    </row>
    <row r="293" spans="2:2" ht="12.5" x14ac:dyDescent="0.25">
      <c r="B293" s="8"/>
    </row>
    <row r="294" spans="2:2" ht="12.5" x14ac:dyDescent="0.25">
      <c r="B294" s="8"/>
    </row>
    <row r="295" spans="2:2" ht="12.5" x14ac:dyDescent="0.25">
      <c r="B295" s="8"/>
    </row>
    <row r="296" spans="2:2" ht="12.5" x14ac:dyDescent="0.25">
      <c r="B296" s="8"/>
    </row>
    <row r="297" spans="2:2" ht="12.5" x14ac:dyDescent="0.25">
      <c r="B297" s="8"/>
    </row>
    <row r="298" spans="2:2" ht="12.5" x14ac:dyDescent="0.25">
      <c r="B298" s="8"/>
    </row>
    <row r="299" spans="2:2" ht="12.5" x14ac:dyDescent="0.25">
      <c r="B299" s="8"/>
    </row>
    <row r="300" spans="2:2" ht="12.5" x14ac:dyDescent="0.25">
      <c r="B300" s="8"/>
    </row>
    <row r="301" spans="2:2" ht="12.5" x14ac:dyDescent="0.25">
      <c r="B301" s="8"/>
    </row>
    <row r="302" spans="2:2" ht="12.5" x14ac:dyDescent="0.25">
      <c r="B302" s="8"/>
    </row>
    <row r="303" spans="2:2" ht="12.5" x14ac:dyDescent="0.25">
      <c r="B303" s="8"/>
    </row>
    <row r="304" spans="2:2" ht="12.5" x14ac:dyDescent="0.25">
      <c r="B304" s="8"/>
    </row>
    <row r="305" spans="2:2" ht="12.5" x14ac:dyDescent="0.25">
      <c r="B305" s="8"/>
    </row>
    <row r="306" spans="2:2" ht="12.5" x14ac:dyDescent="0.25">
      <c r="B306" s="8"/>
    </row>
    <row r="307" spans="2:2" ht="12.5" x14ac:dyDescent="0.25">
      <c r="B307" s="8"/>
    </row>
    <row r="308" spans="2:2" ht="12.5" x14ac:dyDescent="0.25">
      <c r="B308" s="8"/>
    </row>
    <row r="309" spans="2:2" ht="12.5" x14ac:dyDescent="0.25">
      <c r="B309" s="8"/>
    </row>
    <row r="310" spans="2:2" ht="12.5" x14ac:dyDescent="0.25">
      <c r="B310" s="8"/>
    </row>
    <row r="311" spans="2:2" ht="12.5" x14ac:dyDescent="0.25">
      <c r="B311" s="8"/>
    </row>
    <row r="312" spans="2:2" ht="12.5" x14ac:dyDescent="0.25">
      <c r="B312" s="8"/>
    </row>
    <row r="313" spans="2:2" ht="12.5" x14ac:dyDescent="0.25">
      <c r="B313" s="8"/>
    </row>
    <row r="314" spans="2:2" ht="12.5" x14ac:dyDescent="0.25">
      <c r="B314" s="8"/>
    </row>
    <row r="315" spans="2:2" ht="12.5" x14ac:dyDescent="0.25">
      <c r="B315" s="8"/>
    </row>
    <row r="316" spans="2:2" ht="12.5" x14ac:dyDescent="0.25">
      <c r="B316" s="8"/>
    </row>
    <row r="317" spans="2:2" ht="12.5" x14ac:dyDescent="0.25">
      <c r="B317" s="8"/>
    </row>
    <row r="318" spans="2:2" ht="12.5" x14ac:dyDescent="0.25">
      <c r="B318" s="8"/>
    </row>
    <row r="319" spans="2:2" ht="12.5" x14ac:dyDescent="0.25">
      <c r="B319" s="8"/>
    </row>
    <row r="320" spans="2:2" ht="12.5" x14ac:dyDescent="0.25">
      <c r="B320" s="8"/>
    </row>
    <row r="321" spans="2:2" ht="12.5" x14ac:dyDescent="0.25">
      <c r="B321" s="8"/>
    </row>
    <row r="322" spans="2:2" ht="12.5" x14ac:dyDescent="0.25">
      <c r="B322" s="8"/>
    </row>
    <row r="323" spans="2:2" ht="12.5" x14ac:dyDescent="0.25">
      <c r="B323" s="8"/>
    </row>
    <row r="324" spans="2:2" ht="12.5" x14ac:dyDescent="0.25">
      <c r="B324" s="8"/>
    </row>
    <row r="325" spans="2:2" ht="12.5" x14ac:dyDescent="0.25">
      <c r="B325" s="8"/>
    </row>
    <row r="326" spans="2:2" ht="12.5" x14ac:dyDescent="0.25">
      <c r="B326" s="8"/>
    </row>
    <row r="327" spans="2:2" ht="12.5" x14ac:dyDescent="0.25">
      <c r="B327" s="8"/>
    </row>
    <row r="328" spans="2:2" ht="12.5" x14ac:dyDescent="0.25">
      <c r="B328" s="8"/>
    </row>
    <row r="329" spans="2:2" ht="12.5" x14ac:dyDescent="0.25">
      <c r="B329" s="8"/>
    </row>
    <row r="330" spans="2:2" ht="12.5" x14ac:dyDescent="0.25">
      <c r="B330" s="8"/>
    </row>
    <row r="331" spans="2:2" ht="12.5" x14ac:dyDescent="0.25">
      <c r="B331" s="8"/>
    </row>
    <row r="332" spans="2:2" ht="12.5" x14ac:dyDescent="0.25">
      <c r="B332" s="8"/>
    </row>
    <row r="333" spans="2:2" ht="12.5" x14ac:dyDescent="0.25">
      <c r="B333" s="8"/>
    </row>
    <row r="334" spans="2:2" ht="12.5" x14ac:dyDescent="0.25">
      <c r="B334" s="8"/>
    </row>
    <row r="335" spans="2:2" ht="12.5" x14ac:dyDescent="0.25">
      <c r="B335" s="8"/>
    </row>
    <row r="336" spans="2:2" ht="12.5" x14ac:dyDescent="0.25">
      <c r="B336" s="8"/>
    </row>
    <row r="337" spans="2:2" ht="12.5" x14ac:dyDescent="0.25">
      <c r="B337" s="8"/>
    </row>
    <row r="338" spans="2:2" ht="12.5" x14ac:dyDescent="0.25">
      <c r="B338" s="8"/>
    </row>
    <row r="339" spans="2:2" ht="12.5" x14ac:dyDescent="0.25">
      <c r="B339" s="8"/>
    </row>
    <row r="340" spans="2:2" ht="12.5" x14ac:dyDescent="0.25">
      <c r="B340" s="8"/>
    </row>
    <row r="341" spans="2:2" ht="12.5" x14ac:dyDescent="0.25">
      <c r="B341" s="8"/>
    </row>
    <row r="342" spans="2:2" ht="12.5" x14ac:dyDescent="0.25">
      <c r="B342" s="8"/>
    </row>
    <row r="343" spans="2:2" ht="12.5" x14ac:dyDescent="0.25">
      <c r="B343" s="8"/>
    </row>
    <row r="344" spans="2:2" ht="12.5" x14ac:dyDescent="0.25">
      <c r="B344" s="8"/>
    </row>
    <row r="345" spans="2:2" ht="12.5" x14ac:dyDescent="0.25">
      <c r="B345" s="8"/>
    </row>
    <row r="346" spans="2:2" ht="12.5" x14ac:dyDescent="0.25">
      <c r="B346" s="8"/>
    </row>
    <row r="347" spans="2:2" ht="12.5" x14ac:dyDescent="0.25">
      <c r="B347" s="8"/>
    </row>
    <row r="348" spans="2:2" ht="12.5" x14ac:dyDescent="0.25">
      <c r="B348" s="8"/>
    </row>
    <row r="349" spans="2:2" ht="12.5" x14ac:dyDescent="0.25">
      <c r="B349" s="8"/>
    </row>
    <row r="350" spans="2:2" ht="12.5" x14ac:dyDescent="0.25">
      <c r="B350" s="8"/>
    </row>
    <row r="351" spans="2:2" ht="12.5" x14ac:dyDescent="0.25">
      <c r="B351" s="8"/>
    </row>
    <row r="352" spans="2:2" ht="12.5" x14ac:dyDescent="0.25">
      <c r="B352" s="8"/>
    </row>
    <row r="353" spans="2:2" ht="12.5" x14ac:dyDescent="0.25">
      <c r="B353" s="8"/>
    </row>
    <row r="354" spans="2:2" ht="12.5" x14ac:dyDescent="0.25">
      <c r="B354" s="8"/>
    </row>
    <row r="355" spans="2:2" ht="12.5" x14ac:dyDescent="0.25">
      <c r="B355" s="8"/>
    </row>
    <row r="356" spans="2:2" ht="12.5" x14ac:dyDescent="0.25">
      <c r="B356" s="8"/>
    </row>
    <row r="357" spans="2:2" ht="12.5" x14ac:dyDescent="0.25">
      <c r="B357" s="8"/>
    </row>
    <row r="358" spans="2:2" ht="12.5" x14ac:dyDescent="0.25">
      <c r="B358" s="8"/>
    </row>
    <row r="359" spans="2:2" ht="12.5" x14ac:dyDescent="0.25">
      <c r="B359" s="8"/>
    </row>
    <row r="360" spans="2:2" ht="12.5" x14ac:dyDescent="0.25">
      <c r="B360" s="8"/>
    </row>
    <row r="361" spans="2:2" ht="12.5" x14ac:dyDescent="0.25">
      <c r="B361" s="8"/>
    </row>
    <row r="362" spans="2:2" ht="12.5" x14ac:dyDescent="0.25">
      <c r="B362" s="8"/>
    </row>
    <row r="363" spans="2:2" ht="12.5" x14ac:dyDescent="0.25">
      <c r="B363" s="8"/>
    </row>
    <row r="364" spans="2:2" ht="12.5" x14ac:dyDescent="0.25">
      <c r="B364" s="8"/>
    </row>
    <row r="365" spans="2:2" ht="12.5" x14ac:dyDescent="0.25">
      <c r="B365" s="8"/>
    </row>
    <row r="366" spans="2:2" ht="12.5" x14ac:dyDescent="0.25">
      <c r="B366" s="8"/>
    </row>
    <row r="367" spans="2:2" ht="12.5" x14ac:dyDescent="0.25">
      <c r="B367" s="8"/>
    </row>
    <row r="368" spans="2:2" ht="12.5" x14ac:dyDescent="0.25">
      <c r="B368" s="8"/>
    </row>
    <row r="369" spans="2:2" ht="12.5" x14ac:dyDescent="0.25">
      <c r="B369" s="8"/>
    </row>
    <row r="370" spans="2:2" ht="12.5" x14ac:dyDescent="0.25">
      <c r="B370" s="8"/>
    </row>
    <row r="371" spans="2:2" ht="12.5" x14ac:dyDescent="0.25">
      <c r="B371" s="8"/>
    </row>
    <row r="372" spans="2:2" ht="12.5" x14ac:dyDescent="0.25">
      <c r="B372" s="8"/>
    </row>
    <row r="373" spans="2:2" ht="12.5" x14ac:dyDescent="0.25">
      <c r="B373" s="8"/>
    </row>
    <row r="374" spans="2:2" ht="12.5" x14ac:dyDescent="0.25">
      <c r="B374" s="8"/>
    </row>
    <row r="375" spans="2:2" ht="12.5" x14ac:dyDescent="0.25">
      <c r="B375" s="8"/>
    </row>
    <row r="376" spans="2:2" ht="12.5" x14ac:dyDescent="0.25">
      <c r="B376" s="8"/>
    </row>
    <row r="377" spans="2:2" ht="12.5" x14ac:dyDescent="0.25">
      <c r="B377" s="8"/>
    </row>
    <row r="378" spans="2:2" ht="12.5" x14ac:dyDescent="0.25">
      <c r="B378" s="8"/>
    </row>
    <row r="379" spans="2:2" ht="12.5" x14ac:dyDescent="0.25">
      <c r="B379" s="8"/>
    </row>
    <row r="380" spans="2:2" ht="12.5" x14ac:dyDescent="0.25">
      <c r="B380" s="8"/>
    </row>
    <row r="381" spans="2:2" ht="12.5" x14ac:dyDescent="0.25">
      <c r="B381" s="8"/>
    </row>
    <row r="382" spans="2:2" ht="12.5" x14ac:dyDescent="0.25">
      <c r="B382" s="8"/>
    </row>
    <row r="383" spans="2:2" ht="12.5" x14ac:dyDescent="0.25">
      <c r="B383" s="8"/>
    </row>
    <row r="384" spans="2:2" ht="12.5" x14ac:dyDescent="0.25">
      <c r="B384" s="8"/>
    </row>
    <row r="385" spans="2:2" ht="12.5" x14ac:dyDescent="0.25">
      <c r="B385" s="8"/>
    </row>
    <row r="386" spans="2:2" ht="12.5" x14ac:dyDescent="0.25">
      <c r="B386" s="8"/>
    </row>
    <row r="387" spans="2:2" ht="12.5" x14ac:dyDescent="0.25">
      <c r="B387" s="8"/>
    </row>
    <row r="388" spans="2:2" ht="12.5" x14ac:dyDescent="0.25">
      <c r="B388" s="8"/>
    </row>
    <row r="389" spans="2:2" ht="12.5" x14ac:dyDescent="0.25">
      <c r="B389" s="8"/>
    </row>
    <row r="390" spans="2:2" ht="12.5" x14ac:dyDescent="0.25">
      <c r="B390" s="8"/>
    </row>
    <row r="391" spans="2:2" ht="12.5" x14ac:dyDescent="0.25">
      <c r="B391" s="8"/>
    </row>
    <row r="392" spans="2:2" ht="12.5" x14ac:dyDescent="0.25">
      <c r="B392" s="8"/>
    </row>
    <row r="393" spans="2:2" ht="12.5" x14ac:dyDescent="0.25">
      <c r="B393" s="8"/>
    </row>
    <row r="394" spans="2:2" ht="12.5" x14ac:dyDescent="0.25">
      <c r="B394" s="8"/>
    </row>
    <row r="395" spans="2:2" ht="12.5" x14ac:dyDescent="0.25">
      <c r="B395" s="8"/>
    </row>
    <row r="396" spans="2:2" ht="12.5" x14ac:dyDescent="0.25">
      <c r="B396" s="8"/>
    </row>
    <row r="397" spans="2:2" ht="12.5" x14ac:dyDescent="0.25">
      <c r="B397" s="8"/>
    </row>
    <row r="398" spans="2:2" ht="12.5" x14ac:dyDescent="0.25">
      <c r="B398" s="8"/>
    </row>
    <row r="399" spans="2:2" ht="12.5" x14ac:dyDescent="0.25">
      <c r="B399" s="8"/>
    </row>
    <row r="400" spans="2:2" ht="12.5" x14ac:dyDescent="0.25">
      <c r="B400" s="8"/>
    </row>
    <row r="401" spans="2:2" ht="12.5" x14ac:dyDescent="0.25">
      <c r="B401" s="8"/>
    </row>
    <row r="402" spans="2:2" ht="12.5" x14ac:dyDescent="0.25">
      <c r="B402" s="8"/>
    </row>
    <row r="403" spans="2:2" ht="12.5" x14ac:dyDescent="0.25">
      <c r="B403" s="8"/>
    </row>
    <row r="404" spans="2:2" ht="12.5" x14ac:dyDescent="0.25">
      <c r="B404" s="8"/>
    </row>
    <row r="405" spans="2:2" ht="12.5" x14ac:dyDescent="0.25">
      <c r="B405" s="8"/>
    </row>
    <row r="406" spans="2:2" ht="12.5" x14ac:dyDescent="0.25">
      <c r="B406" s="8"/>
    </row>
    <row r="407" spans="2:2" ht="12.5" x14ac:dyDescent="0.25">
      <c r="B407" s="8"/>
    </row>
    <row r="408" spans="2:2" ht="12.5" x14ac:dyDescent="0.25">
      <c r="B408" s="8"/>
    </row>
    <row r="409" spans="2:2" ht="12.5" x14ac:dyDescent="0.25">
      <c r="B409" s="8"/>
    </row>
    <row r="410" spans="2:2" ht="12.5" x14ac:dyDescent="0.25">
      <c r="B410" s="8"/>
    </row>
    <row r="411" spans="2:2" ht="12.5" x14ac:dyDescent="0.25">
      <c r="B411" s="8"/>
    </row>
    <row r="412" spans="2:2" ht="12.5" x14ac:dyDescent="0.25">
      <c r="B412" s="8"/>
    </row>
    <row r="413" spans="2:2" ht="12.5" x14ac:dyDescent="0.25">
      <c r="B413" s="8"/>
    </row>
    <row r="414" spans="2:2" ht="12.5" x14ac:dyDescent="0.25">
      <c r="B414" s="8"/>
    </row>
    <row r="415" spans="2:2" ht="12.5" x14ac:dyDescent="0.25">
      <c r="B415" s="8"/>
    </row>
    <row r="416" spans="2:2" ht="12.5" x14ac:dyDescent="0.25">
      <c r="B416" s="8"/>
    </row>
    <row r="417" spans="2:2" ht="12.5" x14ac:dyDescent="0.25">
      <c r="B417" s="8"/>
    </row>
    <row r="418" spans="2:2" ht="12.5" x14ac:dyDescent="0.25">
      <c r="B418" s="8"/>
    </row>
    <row r="419" spans="2:2" ht="12.5" x14ac:dyDescent="0.25">
      <c r="B419" s="8"/>
    </row>
    <row r="420" spans="2:2" ht="12.5" x14ac:dyDescent="0.25">
      <c r="B420" s="8"/>
    </row>
    <row r="421" spans="2:2" ht="12.5" x14ac:dyDescent="0.25">
      <c r="B421" s="8"/>
    </row>
    <row r="422" spans="2:2" ht="12.5" x14ac:dyDescent="0.25">
      <c r="B422" s="8"/>
    </row>
    <row r="423" spans="2:2" ht="12.5" x14ac:dyDescent="0.25">
      <c r="B423" s="8"/>
    </row>
    <row r="424" spans="2:2" ht="12.5" x14ac:dyDescent="0.25">
      <c r="B424" s="8"/>
    </row>
    <row r="425" spans="2:2" ht="12.5" x14ac:dyDescent="0.25">
      <c r="B425" s="8"/>
    </row>
    <row r="426" spans="2:2" ht="12.5" x14ac:dyDescent="0.25">
      <c r="B426" s="8"/>
    </row>
    <row r="427" spans="2:2" ht="12.5" x14ac:dyDescent="0.25">
      <c r="B427" s="8"/>
    </row>
    <row r="428" spans="2:2" ht="12.5" x14ac:dyDescent="0.25">
      <c r="B428" s="8"/>
    </row>
    <row r="429" spans="2:2" ht="12.5" x14ac:dyDescent="0.25">
      <c r="B429" s="8"/>
    </row>
    <row r="430" spans="2:2" ht="12.5" x14ac:dyDescent="0.25">
      <c r="B430" s="8"/>
    </row>
    <row r="431" spans="2:2" ht="12.5" x14ac:dyDescent="0.25">
      <c r="B431" s="8"/>
    </row>
    <row r="432" spans="2:2" ht="12.5" x14ac:dyDescent="0.25">
      <c r="B432" s="8"/>
    </row>
    <row r="433" spans="2:2" ht="12.5" x14ac:dyDescent="0.25">
      <c r="B433" s="8"/>
    </row>
    <row r="434" spans="2:2" ht="12.5" x14ac:dyDescent="0.25">
      <c r="B434" s="8"/>
    </row>
    <row r="435" spans="2:2" ht="12.5" x14ac:dyDescent="0.25">
      <c r="B435" s="8"/>
    </row>
    <row r="436" spans="2:2" ht="12.5" x14ac:dyDescent="0.25">
      <c r="B436" s="8"/>
    </row>
    <row r="437" spans="2:2" ht="12.5" x14ac:dyDescent="0.25">
      <c r="B437" s="8"/>
    </row>
    <row r="438" spans="2:2" ht="12.5" x14ac:dyDescent="0.25">
      <c r="B438" s="8"/>
    </row>
    <row r="439" spans="2:2" ht="12.5" x14ac:dyDescent="0.25">
      <c r="B439" s="8"/>
    </row>
    <row r="440" spans="2:2" ht="12.5" x14ac:dyDescent="0.25">
      <c r="B440" s="8"/>
    </row>
    <row r="441" spans="2:2" ht="12.5" x14ac:dyDescent="0.25">
      <c r="B441" s="8"/>
    </row>
    <row r="442" spans="2:2" ht="12.5" x14ac:dyDescent="0.25">
      <c r="B442" s="8"/>
    </row>
    <row r="443" spans="2:2" ht="12.5" x14ac:dyDescent="0.25">
      <c r="B443" s="8"/>
    </row>
    <row r="444" spans="2:2" ht="12.5" x14ac:dyDescent="0.25">
      <c r="B444" s="8"/>
    </row>
    <row r="445" spans="2:2" ht="12.5" x14ac:dyDescent="0.25">
      <c r="B445" s="8"/>
    </row>
    <row r="446" spans="2:2" ht="12.5" x14ac:dyDescent="0.25">
      <c r="B446" s="8"/>
    </row>
    <row r="447" spans="2:2" ht="12.5" x14ac:dyDescent="0.25">
      <c r="B447" s="8"/>
    </row>
    <row r="448" spans="2:2" ht="12.5" x14ac:dyDescent="0.25">
      <c r="B448" s="8"/>
    </row>
    <row r="449" spans="2:2" ht="12.5" x14ac:dyDescent="0.25">
      <c r="B449" s="8"/>
    </row>
    <row r="450" spans="2:2" ht="12.5" x14ac:dyDescent="0.25">
      <c r="B450" s="8"/>
    </row>
    <row r="451" spans="2:2" ht="12.5" x14ac:dyDescent="0.25">
      <c r="B451" s="8"/>
    </row>
    <row r="452" spans="2:2" ht="12.5" x14ac:dyDescent="0.25">
      <c r="B452" s="8"/>
    </row>
    <row r="453" spans="2:2" ht="12.5" x14ac:dyDescent="0.25">
      <c r="B453" s="8"/>
    </row>
    <row r="454" spans="2:2" ht="12.5" x14ac:dyDescent="0.25">
      <c r="B454" s="8"/>
    </row>
    <row r="455" spans="2:2" ht="12.5" x14ac:dyDescent="0.25">
      <c r="B455" s="8"/>
    </row>
    <row r="456" spans="2:2" ht="12.5" x14ac:dyDescent="0.25">
      <c r="B456" s="8"/>
    </row>
    <row r="457" spans="2:2" ht="12.5" x14ac:dyDescent="0.25">
      <c r="B457" s="8"/>
    </row>
    <row r="458" spans="2:2" ht="12.5" x14ac:dyDescent="0.25">
      <c r="B458" s="8"/>
    </row>
    <row r="459" spans="2:2" ht="12.5" x14ac:dyDescent="0.25">
      <c r="B459" s="8"/>
    </row>
    <row r="460" spans="2:2" ht="12.5" x14ac:dyDescent="0.25">
      <c r="B460" s="8"/>
    </row>
    <row r="461" spans="2:2" ht="12.5" x14ac:dyDescent="0.25">
      <c r="B461" s="8"/>
    </row>
    <row r="462" spans="2:2" ht="12.5" x14ac:dyDescent="0.25">
      <c r="B462" s="8"/>
    </row>
    <row r="463" spans="2:2" ht="12.5" x14ac:dyDescent="0.25">
      <c r="B463" s="8"/>
    </row>
    <row r="464" spans="2:2" ht="12.5" x14ac:dyDescent="0.25">
      <c r="B464" s="8"/>
    </row>
    <row r="465" spans="2:2" ht="12.5" x14ac:dyDescent="0.25">
      <c r="B465" s="8"/>
    </row>
    <row r="466" spans="2:2" ht="12.5" x14ac:dyDescent="0.25">
      <c r="B466" s="8"/>
    </row>
    <row r="467" spans="2:2" ht="12.5" x14ac:dyDescent="0.25">
      <c r="B467" s="8"/>
    </row>
    <row r="468" spans="2:2" ht="12.5" x14ac:dyDescent="0.25">
      <c r="B468" s="8"/>
    </row>
    <row r="469" spans="2:2" ht="12.5" x14ac:dyDescent="0.25">
      <c r="B469" s="8"/>
    </row>
    <row r="470" spans="2:2" ht="12.5" x14ac:dyDescent="0.25">
      <c r="B470" s="8"/>
    </row>
    <row r="471" spans="2:2" ht="12.5" x14ac:dyDescent="0.25">
      <c r="B471" s="8"/>
    </row>
    <row r="472" spans="2:2" ht="12.5" x14ac:dyDescent="0.25">
      <c r="B472" s="8"/>
    </row>
    <row r="473" spans="2:2" ht="12.5" x14ac:dyDescent="0.25">
      <c r="B473" s="8"/>
    </row>
    <row r="474" spans="2:2" ht="12.5" x14ac:dyDescent="0.25">
      <c r="B474" s="8"/>
    </row>
    <row r="475" spans="2:2" ht="12.5" x14ac:dyDescent="0.25">
      <c r="B475" s="8"/>
    </row>
    <row r="476" spans="2:2" ht="12.5" x14ac:dyDescent="0.25">
      <c r="B476" s="8"/>
    </row>
    <row r="477" spans="2:2" ht="12.5" x14ac:dyDescent="0.25">
      <c r="B477" s="8"/>
    </row>
    <row r="478" spans="2:2" ht="12.5" x14ac:dyDescent="0.25">
      <c r="B478" s="8"/>
    </row>
    <row r="479" spans="2:2" ht="12.5" x14ac:dyDescent="0.25">
      <c r="B479" s="8"/>
    </row>
    <row r="480" spans="2:2" ht="12.5" x14ac:dyDescent="0.25">
      <c r="B480" s="8"/>
    </row>
    <row r="481" spans="2:2" ht="12.5" x14ac:dyDescent="0.25">
      <c r="B481" s="8"/>
    </row>
    <row r="482" spans="2:2" ht="12.5" x14ac:dyDescent="0.25">
      <c r="B482" s="8"/>
    </row>
    <row r="483" spans="2:2" ht="12.5" x14ac:dyDescent="0.25">
      <c r="B483" s="8"/>
    </row>
    <row r="484" spans="2:2" ht="12.5" x14ac:dyDescent="0.25">
      <c r="B484" s="8"/>
    </row>
    <row r="485" spans="2:2" ht="12.5" x14ac:dyDescent="0.25">
      <c r="B485" s="8"/>
    </row>
    <row r="486" spans="2:2" ht="12.5" x14ac:dyDescent="0.25">
      <c r="B486" s="8"/>
    </row>
    <row r="487" spans="2:2" ht="12.5" x14ac:dyDescent="0.25">
      <c r="B487" s="8"/>
    </row>
    <row r="488" spans="2:2" ht="12.5" x14ac:dyDescent="0.25">
      <c r="B488" s="8"/>
    </row>
    <row r="489" spans="2:2" ht="12.5" x14ac:dyDescent="0.25">
      <c r="B489" s="8"/>
    </row>
    <row r="490" spans="2:2" ht="12.5" x14ac:dyDescent="0.25">
      <c r="B490" s="8"/>
    </row>
    <row r="491" spans="2:2" ht="12.5" x14ac:dyDescent="0.25">
      <c r="B491" s="8"/>
    </row>
    <row r="492" spans="2:2" ht="12.5" x14ac:dyDescent="0.25">
      <c r="B492" s="8"/>
    </row>
    <row r="493" spans="2:2" ht="12.5" x14ac:dyDescent="0.25">
      <c r="B493" s="8"/>
    </row>
    <row r="494" spans="2:2" ht="12.5" x14ac:dyDescent="0.25">
      <c r="B494" s="8"/>
    </row>
    <row r="495" spans="2:2" ht="12.5" x14ac:dyDescent="0.25">
      <c r="B495" s="8"/>
    </row>
    <row r="496" spans="2:2" ht="12.5" x14ac:dyDescent="0.25">
      <c r="B496" s="8"/>
    </row>
    <row r="497" spans="2:2" ht="12.5" x14ac:dyDescent="0.25">
      <c r="B497" s="8"/>
    </row>
    <row r="498" spans="2:2" ht="12.5" x14ac:dyDescent="0.25">
      <c r="B498" s="8"/>
    </row>
    <row r="499" spans="2:2" ht="12.5" x14ac:dyDescent="0.25">
      <c r="B499" s="8"/>
    </row>
    <row r="500" spans="2:2" ht="12.5" x14ac:dyDescent="0.25">
      <c r="B500" s="8"/>
    </row>
    <row r="501" spans="2:2" ht="12.5" x14ac:dyDescent="0.25">
      <c r="B501" s="8"/>
    </row>
    <row r="502" spans="2:2" ht="12.5" x14ac:dyDescent="0.25">
      <c r="B502" s="8"/>
    </row>
    <row r="503" spans="2:2" ht="12.5" x14ac:dyDescent="0.25">
      <c r="B503" s="8"/>
    </row>
    <row r="504" spans="2:2" ht="12.5" x14ac:dyDescent="0.25">
      <c r="B504" s="8"/>
    </row>
    <row r="505" spans="2:2" ht="12.5" x14ac:dyDescent="0.25">
      <c r="B505" s="8"/>
    </row>
    <row r="506" spans="2:2" ht="12.5" x14ac:dyDescent="0.25">
      <c r="B506" s="8"/>
    </row>
    <row r="507" spans="2:2" ht="12.5" x14ac:dyDescent="0.25">
      <c r="B507" s="8"/>
    </row>
    <row r="508" spans="2:2" ht="12.5" x14ac:dyDescent="0.25">
      <c r="B508" s="8"/>
    </row>
    <row r="509" spans="2:2" ht="12.5" x14ac:dyDescent="0.25">
      <c r="B509" s="8"/>
    </row>
    <row r="510" spans="2:2" ht="12.5" x14ac:dyDescent="0.25">
      <c r="B510" s="8"/>
    </row>
    <row r="511" spans="2:2" ht="12.5" x14ac:dyDescent="0.25">
      <c r="B511" s="8"/>
    </row>
    <row r="512" spans="2:2" ht="12.5" x14ac:dyDescent="0.25">
      <c r="B512" s="8"/>
    </row>
    <row r="513" spans="2:2" ht="12.5" x14ac:dyDescent="0.25">
      <c r="B513" s="8"/>
    </row>
    <row r="514" spans="2:2" ht="12.5" x14ac:dyDescent="0.25">
      <c r="B514" s="8"/>
    </row>
    <row r="515" spans="2:2" ht="12.5" x14ac:dyDescent="0.25">
      <c r="B515" s="8"/>
    </row>
    <row r="516" spans="2:2" ht="12.5" x14ac:dyDescent="0.25">
      <c r="B516" s="8"/>
    </row>
    <row r="517" spans="2:2" ht="12.5" x14ac:dyDescent="0.25">
      <c r="B517" s="8"/>
    </row>
    <row r="518" spans="2:2" ht="12.5" x14ac:dyDescent="0.25">
      <c r="B518" s="8"/>
    </row>
    <row r="519" spans="2:2" ht="12.5" x14ac:dyDescent="0.25">
      <c r="B519" s="8"/>
    </row>
    <row r="520" spans="2:2" ht="12.5" x14ac:dyDescent="0.25">
      <c r="B520" s="8"/>
    </row>
    <row r="521" spans="2:2" ht="12.5" x14ac:dyDescent="0.25">
      <c r="B521" s="8"/>
    </row>
    <row r="522" spans="2:2" ht="12.5" x14ac:dyDescent="0.25">
      <c r="B522" s="8"/>
    </row>
    <row r="523" spans="2:2" ht="12.5" x14ac:dyDescent="0.25">
      <c r="B523" s="8"/>
    </row>
    <row r="524" spans="2:2" ht="12.5" x14ac:dyDescent="0.25">
      <c r="B524" s="8"/>
    </row>
    <row r="525" spans="2:2" ht="12.5" x14ac:dyDescent="0.25">
      <c r="B525" s="8"/>
    </row>
    <row r="526" spans="2:2" ht="12.5" x14ac:dyDescent="0.25">
      <c r="B526" s="8"/>
    </row>
    <row r="527" spans="2:2" ht="12.5" x14ac:dyDescent="0.25">
      <c r="B527" s="8"/>
    </row>
    <row r="528" spans="2:2" ht="12.5" x14ac:dyDescent="0.25">
      <c r="B528" s="8"/>
    </row>
    <row r="529" spans="2:2" ht="12.5" x14ac:dyDescent="0.25">
      <c r="B529" s="8"/>
    </row>
    <row r="530" spans="2:2" ht="12.5" x14ac:dyDescent="0.25">
      <c r="B530" s="8"/>
    </row>
    <row r="531" spans="2:2" ht="12.5" x14ac:dyDescent="0.25">
      <c r="B531" s="8"/>
    </row>
    <row r="532" spans="2:2" ht="12.5" x14ac:dyDescent="0.25">
      <c r="B532" s="8"/>
    </row>
    <row r="533" spans="2:2" ht="12.5" x14ac:dyDescent="0.25">
      <c r="B533" s="8"/>
    </row>
    <row r="534" spans="2:2" ht="12.5" x14ac:dyDescent="0.25">
      <c r="B534" s="8"/>
    </row>
    <row r="535" spans="2:2" ht="12.5" x14ac:dyDescent="0.25">
      <c r="B535" s="8"/>
    </row>
    <row r="536" spans="2:2" ht="12.5" x14ac:dyDescent="0.25">
      <c r="B536" s="8"/>
    </row>
    <row r="537" spans="2:2" ht="12.5" x14ac:dyDescent="0.25">
      <c r="B537" s="8"/>
    </row>
    <row r="538" spans="2:2" ht="12.5" x14ac:dyDescent="0.25">
      <c r="B538" s="8"/>
    </row>
    <row r="539" spans="2:2" ht="12.5" x14ac:dyDescent="0.25">
      <c r="B539" s="8"/>
    </row>
    <row r="540" spans="2:2" ht="12.5" x14ac:dyDescent="0.25">
      <c r="B540" s="8"/>
    </row>
    <row r="541" spans="2:2" ht="12.5" x14ac:dyDescent="0.25">
      <c r="B541" s="8"/>
    </row>
    <row r="542" spans="2:2" ht="12.5" x14ac:dyDescent="0.25">
      <c r="B542" s="8"/>
    </row>
    <row r="543" spans="2:2" ht="12.5" x14ac:dyDescent="0.25">
      <c r="B543" s="8"/>
    </row>
    <row r="544" spans="2:2" ht="12.5" x14ac:dyDescent="0.25">
      <c r="B544" s="8"/>
    </row>
    <row r="545" spans="2:2" ht="12.5" x14ac:dyDescent="0.25">
      <c r="B545" s="8"/>
    </row>
    <row r="546" spans="2:2" ht="12.5" x14ac:dyDescent="0.25">
      <c r="B546" s="8"/>
    </row>
    <row r="547" spans="2:2" ht="12.5" x14ac:dyDescent="0.25">
      <c r="B547" s="8"/>
    </row>
    <row r="548" spans="2:2" ht="12.5" x14ac:dyDescent="0.25">
      <c r="B548" s="8"/>
    </row>
    <row r="549" spans="2:2" ht="12.5" x14ac:dyDescent="0.25">
      <c r="B549" s="8"/>
    </row>
    <row r="550" spans="2:2" ht="12.5" x14ac:dyDescent="0.25">
      <c r="B550" s="8"/>
    </row>
    <row r="551" spans="2:2" ht="12.5" x14ac:dyDescent="0.25">
      <c r="B551" s="8"/>
    </row>
    <row r="552" spans="2:2" ht="12.5" x14ac:dyDescent="0.25">
      <c r="B552" s="8"/>
    </row>
    <row r="553" spans="2:2" ht="12.5" x14ac:dyDescent="0.25">
      <c r="B553" s="8"/>
    </row>
    <row r="554" spans="2:2" ht="12.5" x14ac:dyDescent="0.25">
      <c r="B554" s="8"/>
    </row>
    <row r="555" spans="2:2" ht="12.5" x14ac:dyDescent="0.25">
      <c r="B555" s="8"/>
    </row>
    <row r="556" spans="2:2" ht="12.5" x14ac:dyDescent="0.25">
      <c r="B556" s="8"/>
    </row>
    <row r="557" spans="2:2" ht="12.5" x14ac:dyDescent="0.25">
      <c r="B557" s="8"/>
    </row>
    <row r="558" spans="2:2" ht="12.5" x14ac:dyDescent="0.25">
      <c r="B558" s="8"/>
    </row>
    <row r="559" spans="2:2" ht="12.5" x14ac:dyDescent="0.25">
      <c r="B559" s="8"/>
    </row>
    <row r="560" spans="2:2" ht="12.5" x14ac:dyDescent="0.25">
      <c r="B560" s="8"/>
    </row>
    <row r="561" spans="2:2" ht="12.5" x14ac:dyDescent="0.25">
      <c r="B561" s="8"/>
    </row>
    <row r="562" spans="2:2" ht="12.5" x14ac:dyDescent="0.25">
      <c r="B562" s="8"/>
    </row>
    <row r="563" spans="2:2" ht="12.5" x14ac:dyDescent="0.25">
      <c r="B563" s="8"/>
    </row>
    <row r="564" spans="2:2" ht="12.5" x14ac:dyDescent="0.25">
      <c r="B564" s="8"/>
    </row>
    <row r="565" spans="2:2" ht="12.5" x14ac:dyDescent="0.25">
      <c r="B565" s="8"/>
    </row>
    <row r="566" spans="2:2" ht="12.5" x14ac:dyDescent="0.25">
      <c r="B566" s="8"/>
    </row>
    <row r="567" spans="2:2" ht="12.5" x14ac:dyDescent="0.25">
      <c r="B567" s="8"/>
    </row>
    <row r="568" spans="2:2" ht="12.5" x14ac:dyDescent="0.25">
      <c r="B568" s="8"/>
    </row>
    <row r="569" spans="2:2" ht="12.5" x14ac:dyDescent="0.25">
      <c r="B569" s="8"/>
    </row>
    <row r="570" spans="2:2" ht="12.5" x14ac:dyDescent="0.25">
      <c r="B570" s="8"/>
    </row>
    <row r="571" spans="2:2" ht="12.5" x14ac:dyDescent="0.25">
      <c r="B571" s="8"/>
    </row>
    <row r="572" spans="2:2" ht="12.5" x14ac:dyDescent="0.25">
      <c r="B572" s="8"/>
    </row>
    <row r="573" spans="2:2" ht="12.5" x14ac:dyDescent="0.25">
      <c r="B573" s="8"/>
    </row>
    <row r="574" spans="2:2" ht="12.5" x14ac:dyDescent="0.25">
      <c r="B574" s="8"/>
    </row>
    <row r="575" spans="2:2" ht="12.5" x14ac:dyDescent="0.25">
      <c r="B575" s="8"/>
    </row>
    <row r="576" spans="2:2" ht="12.5" x14ac:dyDescent="0.25">
      <c r="B576" s="8"/>
    </row>
    <row r="577" spans="2:2" ht="12.5" x14ac:dyDescent="0.25">
      <c r="B577" s="8"/>
    </row>
    <row r="578" spans="2:2" ht="12.5" x14ac:dyDescent="0.25">
      <c r="B578" s="8"/>
    </row>
    <row r="579" spans="2:2" ht="12.5" x14ac:dyDescent="0.25">
      <c r="B579" s="8"/>
    </row>
    <row r="580" spans="2:2" ht="12.5" x14ac:dyDescent="0.25">
      <c r="B580" s="8"/>
    </row>
    <row r="581" spans="2:2" ht="12.5" x14ac:dyDescent="0.25">
      <c r="B581" s="8"/>
    </row>
    <row r="582" spans="2:2" ht="12.5" x14ac:dyDescent="0.25">
      <c r="B582" s="8"/>
    </row>
    <row r="583" spans="2:2" ht="12.5" x14ac:dyDescent="0.25">
      <c r="B583" s="8"/>
    </row>
    <row r="584" spans="2:2" ht="12.5" x14ac:dyDescent="0.25">
      <c r="B584" s="8"/>
    </row>
    <row r="585" spans="2:2" ht="12.5" x14ac:dyDescent="0.25">
      <c r="B585" s="8"/>
    </row>
    <row r="586" spans="2:2" ht="12.5" x14ac:dyDescent="0.25">
      <c r="B586" s="8"/>
    </row>
    <row r="587" spans="2:2" ht="12.5" x14ac:dyDescent="0.25">
      <c r="B587" s="8"/>
    </row>
    <row r="588" spans="2:2" ht="12.5" x14ac:dyDescent="0.25">
      <c r="B588" s="8"/>
    </row>
    <row r="589" spans="2:2" ht="12.5" x14ac:dyDescent="0.25">
      <c r="B589" s="8"/>
    </row>
    <row r="590" spans="2:2" ht="12.5" x14ac:dyDescent="0.25">
      <c r="B590" s="8"/>
    </row>
    <row r="591" spans="2:2" ht="12.5" x14ac:dyDescent="0.25">
      <c r="B591" s="8"/>
    </row>
    <row r="592" spans="2:2" ht="12.5" x14ac:dyDescent="0.25">
      <c r="B592" s="8"/>
    </row>
    <row r="593" spans="2:2" ht="12.5" x14ac:dyDescent="0.25">
      <c r="B593" s="8"/>
    </row>
    <row r="594" spans="2:2" ht="12.5" x14ac:dyDescent="0.25">
      <c r="B594" s="8"/>
    </row>
    <row r="595" spans="2:2" ht="12.5" x14ac:dyDescent="0.25">
      <c r="B595" s="8"/>
    </row>
    <row r="596" spans="2:2" ht="12.5" x14ac:dyDescent="0.25">
      <c r="B596" s="8"/>
    </row>
    <row r="597" spans="2:2" ht="12.5" x14ac:dyDescent="0.25">
      <c r="B597" s="8"/>
    </row>
    <row r="598" spans="2:2" ht="12.5" x14ac:dyDescent="0.25">
      <c r="B598" s="8"/>
    </row>
    <row r="599" spans="2:2" ht="12.5" x14ac:dyDescent="0.25">
      <c r="B599" s="8"/>
    </row>
    <row r="600" spans="2:2" ht="12.5" x14ac:dyDescent="0.25">
      <c r="B600" s="8"/>
    </row>
    <row r="601" spans="2:2" ht="12.5" x14ac:dyDescent="0.25">
      <c r="B601" s="8"/>
    </row>
    <row r="602" spans="2:2" ht="12.5" x14ac:dyDescent="0.25">
      <c r="B602" s="8"/>
    </row>
    <row r="603" spans="2:2" ht="12.5" x14ac:dyDescent="0.25">
      <c r="B603" s="8"/>
    </row>
    <row r="604" spans="2:2" ht="12.5" x14ac:dyDescent="0.25">
      <c r="B604" s="8"/>
    </row>
    <row r="605" spans="2:2" ht="12.5" x14ac:dyDescent="0.25">
      <c r="B605" s="8"/>
    </row>
    <row r="606" spans="2:2" ht="12.5" x14ac:dyDescent="0.25">
      <c r="B606" s="8"/>
    </row>
    <row r="607" spans="2:2" ht="12.5" x14ac:dyDescent="0.25">
      <c r="B607" s="8"/>
    </row>
    <row r="608" spans="2:2" ht="12.5" x14ac:dyDescent="0.25">
      <c r="B608" s="8"/>
    </row>
    <row r="609" spans="2:2" ht="12.5" x14ac:dyDescent="0.25">
      <c r="B609" s="8"/>
    </row>
    <row r="610" spans="2:2" ht="12.5" x14ac:dyDescent="0.25">
      <c r="B610" s="8"/>
    </row>
    <row r="611" spans="2:2" ht="12.5" x14ac:dyDescent="0.25">
      <c r="B611" s="8"/>
    </row>
    <row r="612" spans="2:2" ht="12.5" x14ac:dyDescent="0.25">
      <c r="B612" s="8"/>
    </row>
    <row r="613" spans="2:2" ht="12.5" x14ac:dyDescent="0.25">
      <c r="B613" s="8"/>
    </row>
    <row r="614" spans="2:2" ht="12.5" x14ac:dyDescent="0.25">
      <c r="B614" s="8"/>
    </row>
    <row r="615" spans="2:2" ht="12.5" x14ac:dyDescent="0.25">
      <c r="B615" s="8"/>
    </row>
    <row r="616" spans="2:2" ht="12.5" x14ac:dyDescent="0.25">
      <c r="B616" s="8"/>
    </row>
    <row r="617" spans="2:2" ht="12.5" x14ac:dyDescent="0.25">
      <c r="B617" s="8"/>
    </row>
    <row r="618" spans="2:2" ht="12.5" x14ac:dyDescent="0.25">
      <c r="B618" s="8"/>
    </row>
    <row r="619" spans="2:2" ht="12.5" x14ac:dyDescent="0.25">
      <c r="B619" s="8"/>
    </row>
    <row r="620" spans="2:2" ht="12.5" x14ac:dyDescent="0.25">
      <c r="B620" s="8"/>
    </row>
    <row r="621" spans="2:2" ht="12.5" x14ac:dyDescent="0.25">
      <c r="B621" s="8"/>
    </row>
    <row r="622" spans="2:2" ht="12.5" x14ac:dyDescent="0.25">
      <c r="B622" s="8"/>
    </row>
    <row r="623" spans="2:2" ht="12.5" x14ac:dyDescent="0.25">
      <c r="B623" s="8"/>
    </row>
    <row r="624" spans="2:2" ht="12.5" x14ac:dyDescent="0.25">
      <c r="B624" s="8"/>
    </row>
    <row r="625" spans="2:2" ht="12.5" x14ac:dyDescent="0.25">
      <c r="B625" s="8"/>
    </row>
    <row r="626" spans="2:2" ht="12.5" x14ac:dyDescent="0.25">
      <c r="B626" s="8"/>
    </row>
    <row r="627" spans="2:2" ht="12.5" x14ac:dyDescent="0.25">
      <c r="B627" s="8"/>
    </row>
    <row r="628" spans="2:2" ht="12.5" x14ac:dyDescent="0.25">
      <c r="B628" s="8"/>
    </row>
    <row r="629" spans="2:2" ht="12.5" x14ac:dyDescent="0.25">
      <c r="B629" s="8"/>
    </row>
    <row r="630" spans="2:2" ht="12.5" x14ac:dyDescent="0.25">
      <c r="B630" s="8"/>
    </row>
    <row r="631" spans="2:2" ht="12.5" x14ac:dyDescent="0.25">
      <c r="B631" s="8"/>
    </row>
    <row r="632" spans="2:2" ht="12.5" x14ac:dyDescent="0.25">
      <c r="B632" s="8"/>
    </row>
    <row r="633" spans="2:2" ht="12.5" x14ac:dyDescent="0.25">
      <c r="B633" s="8"/>
    </row>
    <row r="634" spans="2:2" ht="12.5" x14ac:dyDescent="0.25">
      <c r="B634" s="8"/>
    </row>
    <row r="635" spans="2:2" ht="12.5" x14ac:dyDescent="0.25">
      <c r="B635" s="8"/>
    </row>
    <row r="636" spans="2:2" ht="12.5" x14ac:dyDescent="0.25">
      <c r="B636" s="8"/>
    </row>
    <row r="637" spans="2:2" ht="12.5" x14ac:dyDescent="0.25">
      <c r="B637" s="8"/>
    </row>
    <row r="638" spans="2:2" ht="12.5" x14ac:dyDescent="0.25">
      <c r="B638" s="8"/>
    </row>
    <row r="639" spans="2:2" ht="12.5" x14ac:dyDescent="0.25">
      <c r="B639" s="8"/>
    </row>
    <row r="640" spans="2:2" ht="12.5" x14ac:dyDescent="0.25">
      <c r="B640" s="8"/>
    </row>
    <row r="641" spans="2:2" ht="12.5" x14ac:dyDescent="0.25">
      <c r="B641" s="8"/>
    </row>
    <row r="642" spans="2:2" ht="12.5" x14ac:dyDescent="0.25">
      <c r="B642" s="8"/>
    </row>
    <row r="643" spans="2:2" ht="12.5" x14ac:dyDescent="0.25">
      <c r="B643" s="8"/>
    </row>
    <row r="644" spans="2:2" ht="12.5" x14ac:dyDescent="0.25">
      <c r="B644" s="8"/>
    </row>
    <row r="645" spans="2:2" ht="12.5" x14ac:dyDescent="0.25">
      <c r="B645" s="8"/>
    </row>
    <row r="646" spans="2:2" ht="12.5" x14ac:dyDescent="0.25">
      <c r="B646" s="8"/>
    </row>
    <row r="647" spans="2:2" ht="12.5" x14ac:dyDescent="0.25">
      <c r="B647" s="8"/>
    </row>
    <row r="648" spans="2:2" ht="12.5" x14ac:dyDescent="0.25">
      <c r="B648" s="8"/>
    </row>
    <row r="649" spans="2:2" ht="12.5" x14ac:dyDescent="0.25">
      <c r="B649" s="8"/>
    </row>
    <row r="650" spans="2:2" ht="12.5" x14ac:dyDescent="0.25">
      <c r="B650" s="8"/>
    </row>
    <row r="651" spans="2:2" ht="12.5" x14ac:dyDescent="0.25">
      <c r="B651" s="8"/>
    </row>
    <row r="652" spans="2:2" ht="12.5" x14ac:dyDescent="0.25">
      <c r="B652" s="8"/>
    </row>
    <row r="653" spans="2:2" ht="12.5" x14ac:dyDescent="0.25">
      <c r="B653" s="8"/>
    </row>
    <row r="654" spans="2:2" ht="12.5" x14ac:dyDescent="0.25">
      <c r="B654" s="8"/>
    </row>
    <row r="655" spans="2:2" ht="12.5" x14ac:dyDescent="0.25">
      <c r="B655" s="8"/>
    </row>
    <row r="656" spans="2:2" ht="12.5" x14ac:dyDescent="0.25">
      <c r="B656" s="8"/>
    </row>
    <row r="657" spans="2:2" ht="12.5" x14ac:dyDescent="0.25">
      <c r="B657" s="8"/>
    </row>
    <row r="658" spans="2:2" ht="12.5" x14ac:dyDescent="0.25">
      <c r="B658" s="8"/>
    </row>
    <row r="659" spans="2:2" ht="12.5" x14ac:dyDescent="0.25">
      <c r="B659" s="8"/>
    </row>
    <row r="660" spans="2:2" ht="12.5" x14ac:dyDescent="0.25">
      <c r="B660" s="8"/>
    </row>
    <row r="661" spans="2:2" ht="12.5" x14ac:dyDescent="0.25">
      <c r="B661" s="8"/>
    </row>
    <row r="662" spans="2:2" ht="12.5" x14ac:dyDescent="0.25">
      <c r="B662" s="8"/>
    </row>
    <row r="663" spans="2:2" ht="12.5" x14ac:dyDescent="0.25">
      <c r="B663" s="8"/>
    </row>
    <row r="664" spans="2:2" ht="12.5" x14ac:dyDescent="0.25">
      <c r="B664" s="8"/>
    </row>
    <row r="665" spans="2:2" ht="12.5" x14ac:dyDescent="0.25">
      <c r="B665" s="8"/>
    </row>
    <row r="666" spans="2:2" ht="12.5" x14ac:dyDescent="0.25">
      <c r="B666" s="8"/>
    </row>
    <row r="667" spans="2:2" ht="12.5" x14ac:dyDescent="0.25">
      <c r="B667" s="8"/>
    </row>
    <row r="668" spans="2:2" ht="12.5" x14ac:dyDescent="0.25">
      <c r="B668" s="8"/>
    </row>
    <row r="669" spans="2:2" ht="12.5" x14ac:dyDescent="0.25">
      <c r="B669" s="8"/>
    </row>
    <row r="670" spans="2:2" ht="12.5" x14ac:dyDescent="0.25">
      <c r="B670" s="8"/>
    </row>
    <row r="671" spans="2:2" ht="12.5" x14ac:dyDescent="0.25">
      <c r="B671" s="8"/>
    </row>
    <row r="672" spans="2:2" ht="12.5" x14ac:dyDescent="0.25">
      <c r="B672" s="8"/>
    </row>
    <row r="673" spans="2:2" ht="12.5" x14ac:dyDescent="0.25">
      <c r="B673" s="8"/>
    </row>
    <row r="674" spans="2:2" ht="12.5" x14ac:dyDescent="0.25">
      <c r="B674" s="8"/>
    </row>
    <row r="675" spans="2:2" ht="12.5" x14ac:dyDescent="0.25">
      <c r="B675" s="8"/>
    </row>
    <row r="676" spans="2:2" ht="12.5" x14ac:dyDescent="0.25">
      <c r="B676" s="8"/>
    </row>
    <row r="677" spans="2:2" ht="12.5" x14ac:dyDescent="0.25">
      <c r="B677" s="8"/>
    </row>
    <row r="678" spans="2:2" ht="12.5" x14ac:dyDescent="0.25">
      <c r="B678" s="8"/>
    </row>
    <row r="679" spans="2:2" ht="12.5" x14ac:dyDescent="0.25">
      <c r="B679" s="8"/>
    </row>
    <row r="680" spans="2:2" ht="12.5" x14ac:dyDescent="0.25">
      <c r="B680" s="8"/>
    </row>
    <row r="681" spans="2:2" ht="12.5" x14ac:dyDescent="0.25">
      <c r="B681" s="8"/>
    </row>
    <row r="682" spans="2:2" ht="12.5" x14ac:dyDescent="0.25">
      <c r="B682" s="8"/>
    </row>
    <row r="683" spans="2:2" ht="12.5" x14ac:dyDescent="0.25">
      <c r="B683" s="8"/>
    </row>
    <row r="684" spans="2:2" ht="12.5" x14ac:dyDescent="0.25">
      <c r="B684" s="8"/>
    </row>
    <row r="685" spans="2:2" ht="12.5" x14ac:dyDescent="0.25">
      <c r="B685" s="8"/>
    </row>
    <row r="686" spans="2:2" ht="12.5" x14ac:dyDescent="0.25">
      <c r="B686" s="8"/>
    </row>
    <row r="687" spans="2:2" ht="12.5" x14ac:dyDescent="0.25">
      <c r="B687" s="8"/>
    </row>
    <row r="688" spans="2:2" ht="12.5" x14ac:dyDescent="0.25">
      <c r="B688" s="8"/>
    </row>
    <row r="689" spans="2:2" ht="12.5" x14ac:dyDescent="0.25">
      <c r="B689" s="8"/>
    </row>
    <row r="690" spans="2:2" ht="12.5" x14ac:dyDescent="0.25">
      <c r="B690" s="8"/>
    </row>
    <row r="691" spans="2:2" ht="12.5" x14ac:dyDescent="0.25">
      <c r="B691" s="8"/>
    </row>
    <row r="692" spans="2:2" ht="12.5" x14ac:dyDescent="0.25">
      <c r="B692" s="8"/>
    </row>
    <row r="693" spans="2:2" ht="12.5" x14ac:dyDescent="0.25">
      <c r="B693" s="8"/>
    </row>
    <row r="694" spans="2:2" ht="12.5" x14ac:dyDescent="0.25">
      <c r="B694" s="8"/>
    </row>
    <row r="695" spans="2:2" ht="12.5" x14ac:dyDescent="0.25">
      <c r="B695" s="8"/>
    </row>
    <row r="696" spans="2:2" ht="12.5" x14ac:dyDescent="0.25">
      <c r="B696" s="8"/>
    </row>
    <row r="697" spans="2:2" ht="12.5" x14ac:dyDescent="0.25">
      <c r="B697" s="8"/>
    </row>
    <row r="698" spans="2:2" ht="12.5" x14ac:dyDescent="0.25">
      <c r="B698" s="8"/>
    </row>
    <row r="699" spans="2:2" ht="12.5" x14ac:dyDescent="0.25">
      <c r="B699" s="8"/>
    </row>
    <row r="700" spans="2:2" ht="12.5" x14ac:dyDescent="0.25">
      <c r="B700" s="8"/>
    </row>
    <row r="701" spans="2:2" ht="12.5" x14ac:dyDescent="0.25">
      <c r="B701" s="8"/>
    </row>
    <row r="702" spans="2:2" ht="12.5" x14ac:dyDescent="0.25">
      <c r="B702" s="8"/>
    </row>
    <row r="703" spans="2:2" ht="12.5" x14ac:dyDescent="0.25">
      <c r="B703" s="8"/>
    </row>
    <row r="704" spans="2:2" ht="12.5" x14ac:dyDescent="0.25">
      <c r="B704" s="8"/>
    </row>
    <row r="705" spans="2:2" ht="12.5" x14ac:dyDescent="0.25">
      <c r="B705" s="8"/>
    </row>
    <row r="706" spans="2:2" ht="12.5" x14ac:dyDescent="0.25">
      <c r="B706" s="8"/>
    </row>
    <row r="707" spans="2:2" ht="12.5" x14ac:dyDescent="0.25">
      <c r="B707" s="8"/>
    </row>
    <row r="708" spans="2:2" ht="12.5" x14ac:dyDescent="0.25">
      <c r="B708" s="8"/>
    </row>
    <row r="709" spans="2:2" ht="12.5" x14ac:dyDescent="0.25">
      <c r="B709" s="8"/>
    </row>
    <row r="710" spans="2:2" ht="12.5" x14ac:dyDescent="0.25">
      <c r="B710" s="8"/>
    </row>
    <row r="711" spans="2:2" ht="12.5" x14ac:dyDescent="0.25">
      <c r="B711" s="8"/>
    </row>
    <row r="712" spans="2:2" ht="12.5" x14ac:dyDescent="0.25">
      <c r="B712" s="8"/>
    </row>
    <row r="713" spans="2:2" ht="12.5" x14ac:dyDescent="0.25">
      <c r="B713" s="8"/>
    </row>
    <row r="714" spans="2:2" ht="12.5" x14ac:dyDescent="0.25">
      <c r="B714" s="8"/>
    </row>
    <row r="715" spans="2:2" ht="12.5" x14ac:dyDescent="0.25">
      <c r="B715" s="8"/>
    </row>
    <row r="716" spans="2:2" ht="12.5" x14ac:dyDescent="0.25">
      <c r="B716" s="8"/>
    </row>
    <row r="717" spans="2:2" ht="12.5" x14ac:dyDescent="0.25">
      <c r="B717" s="8"/>
    </row>
    <row r="718" spans="2:2" ht="12.5" x14ac:dyDescent="0.25">
      <c r="B718" s="8"/>
    </row>
    <row r="719" spans="2:2" ht="12.5" x14ac:dyDescent="0.25">
      <c r="B719" s="8"/>
    </row>
    <row r="720" spans="2:2" ht="12.5" x14ac:dyDescent="0.25">
      <c r="B720" s="8"/>
    </row>
    <row r="721" spans="2:2" ht="12.5" x14ac:dyDescent="0.25">
      <c r="B721" s="8"/>
    </row>
    <row r="722" spans="2:2" ht="12.5" x14ac:dyDescent="0.25">
      <c r="B722" s="8"/>
    </row>
    <row r="723" spans="2:2" ht="12.5" x14ac:dyDescent="0.25">
      <c r="B723" s="8"/>
    </row>
    <row r="724" spans="2:2" ht="12.5" x14ac:dyDescent="0.25">
      <c r="B724" s="8"/>
    </row>
    <row r="725" spans="2:2" ht="12.5" x14ac:dyDescent="0.25">
      <c r="B725" s="8"/>
    </row>
    <row r="726" spans="2:2" ht="12.5" x14ac:dyDescent="0.25">
      <c r="B726" s="8"/>
    </row>
    <row r="727" spans="2:2" ht="12.5" x14ac:dyDescent="0.25">
      <c r="B727" s="8"/>
    </row>
    <row r="728" spans="2:2" ht="12.5" x14ac:dyDescent="0.25">
      <c r="B728" s="8"/>
    </row>
    <row r="729" spans="2:2" ht="12.5" x14ac:dyDescent="0.25">
      <c r="B729" s="8"/>
    </row>
    <row r="730" spans="2:2" ht="12.5" x14ac:dyDescent="0.25">
      <c r="B730" s="8"/>
    </row>
    <row r="731" spans="2:2" ht="12.5" x14ac:dyDescent="0.25">
      <c r="B731" s="8"/>
    </row>
    <row r="732" spans="2:2" ht="12.5" x14ac:dyDescent="0.25">
      <c r="B732" s="8"/>
    </row>
    <row r="733" spans="2:2" ht="12.5" x14ac:dyDescent="0.25">
      <c r="B733" s="8"/>
    </row>
    <row r="734" spans="2:2" ht="12.5" x14ac:dyDescent="0.25">
      <c r="B734" s="8"/>
    </row>
    <row r="735" spans="2:2" ht="12.5" x14ac:dyDescent="0.25">
      <c r="B735" s="8"/>
    </row>
    <row r="736" spans="2:2" ht="12.5" x14ac:dyDescent="0.25">
      <c r="B736" s="8"/>
    </row>
    <row r="737" spans="2:2" ht="12.5" x14ac:dyDescent="0.25">
      <c r="B737" s="8"/>
    </row>
    <row r="738" spans="2:2" ht="12.5" x14ac:dyDescent="0.25">
      <c r="B738" s="8"/>
    </row>
    <row r="739" spans="2:2" ht="12.5" x14ac:dyDescent="0.25">
      <c r="B739" s="8"/>
    </row>
    <row r="740" spans="2:2" ht="12.5" x14ac:dyDescent="0.25">
      <c r="B740" s="8"/>
    </row>
    <row r="741" spans="2:2" ht="12.5" x14ac:dyDescent="0.25">
      <c r="B741" s="8"/>
    </row>
    <row r="742" spans="2:2" ht="12.5" x14ac:dyDescent="0.25">
      <c r="B742" s="8"/>
    </row>
    <row r="743" spans="2:2" ht="12.5" x14ac:dyDescent="0.25">
      <c r="B743" s="8"/>
    </row>
    <row r="744" spans="2:2" ht="12.5" x14ac:dyDescent="0.25">
      <c r="B744" s="8"/>
    </row>
    <row r="745" spans="2:2" ht="12.5" x14ac:dyDescent="0.25">
      <c r="B745" s="8"/>
    </row>
    <row r="746" spans="2:2" ht="12.5" x14ac:dyDescent="0.25">
      <c r="B746" s="8"/>
    </row>
    <row r="747" spans="2:2" ht="12.5" x14ac:dyDescent="0.25">
      <c r="B747" s="8"/>
    </row>
    <row r="748" spans="2:2" ht="12.5" x14ac:dyDescent="0.25">
      <c r="B748" s="8"/>
    </row>
    <row r="749" spans="2:2" ht="12.5" x14ac:dyDescent="0.25">
      <c r="B749" s="8"/>
    </row>
    <row r="750" spans="2:2" ht="12.5" x14ac:dyDescent="0.25">
      <c r="B750" s="8"/>
    </row>
    <row r="751" spans="2:2" ht="12.5" x14ac:dyDescent="0.25">
      <c r="B751" s="8"/>
    </row>
    <row r="752" spans="2:2" ht="12.5" x14ac:dyDescent="0.25">
      <c r="B752" s="8"/>
    </row>
    <row r="753" spans="2:2" ht="12.5" x14ac:dyDescent="0.25">
      <c r="B753" s="8"/>
    </row>
    <row r="754" spans="2:2" ht="12.5" x14ac:dyDescent="0.25">
      <c r="B754" s="8"/>
    </row>
    <row r="755" spans="2:2" ht="12.5" x14ac:dyDescent="0.25">
      <c r="B755" s="8"/>
    </row>
    <row r="756" spans="2:2" ht="12.5" x14ac:dyDescent="0.25">
      <c r="B756" s="8"/>
    </row>
    <row r="757" spans="2:2" ht="12.5" x14ac:dyDescent="0.25">
      <c r="B757" s="8"/>
    </row>
    <row r="758" spans="2:2" ht="12.5" x14ac:dyDescent="0.25">
      <c r="B758" s="8"/>
    </row>
    <row r="759" spans="2:2" ht="12.5" x14ac:dyDescent="0.25">
      <c r="B759" s="8"/>
    </row>
    <row r="760" spans="2:2" ht="12.5" x14ac:dyDescent="0.25">
      <c r="B760" s="8"/>
    </row>
    <row r="761" spans="2:2" ht="12.5" x14ac:dyDescent="0.25">
      <c r="B761" s="8"/>
    </row>
    <row r="762" spans="2:2" ht="12.5" x14ac:dyDescent="0.25">
      <c r="B762" s="8"/>
    </row>
    <row r="763" spans="2:2" ht="12.5" x14ac:dyDescent="0.25">
      <c r="B763" s="8"/>
    </row>
    <row r="764" spans="2:2" ht="12.5" x14ac:dyDescent="0.25">
      <c r="B764" s="8"/>
    </row>
    <row r="765" spans="2:2" ht="12.5" x14ac:dyDescent="0.25">
      <c r="B765" s="8"/>
    </row>
    <row r="766" spans="2:2" ht="12.5" x14ac:dyDescent="0.25">
      <c r="B766" s="8"/>
    </row>
    <row r="767" spans="2:2" ht="12.5" x14ac:dyDescent="0.25">
      <c r="B767" s="8"/>
    </row>
    <row r="768" spans="2:2" ht="12.5" x14ac:dyDescent="0.25">
      <c r="B768" s="8"/>
    </row>
    <row r="769" spans="2:2" ht="12.5" x14ac:dyDescent="0.25">
      <c r="B769" s="8"/>
    </row>
    <row r="770" spans="2:2" ht="12.5" x14ac:dyDescent="0.25">
      <c r="B770" s="8"/>
    </row>
    <row r="771" spans="2:2" ht="12.5" x14ac:dyDescent="0.25">
      <c r="B771" s="8"/>
    </row>
    <row r="772" spans="2:2" ht="12.5" x14ac:dyDescent="0.25">
      <c r="B772" s="8"/>
    </row>
    <row r="773" spans="2:2" ht="12.5" x14ac:dyDescent="0.25">
      <c r="B773" s="8"/>
    </row>
    <row r="774" spans="2:2" ht="12.5" x14ac:dyDescent="0.25">
      <c r="B774" s="8"/>
    </row>
    <row r="775" spans="2:2" ht="12.5" x14ac:dyDescent="0.25">
      <c r="B775" s="8"/>
    </row>
    <row r="776" spans="2:2" ht="12.5" x14ac:dyDescent="0.25">
      <c r="B776" s="8"/>
    </row>
    <row r="777" spans="2:2" ht="12.5" x14ac:dyDescent="0.25">
      <c r="B777" s="8"/>
    </row>
    <row r="778" spans="2:2" ht="12.5" x14ac:dyDescent="0.25">
      <c r="B778" s="8"/>
    </row>
    <row r="779" spans="2:2" ht="12.5" x14ac:dyDescent="0.25">
      <c r="B779" s="8"/>
    </row>
    <row r="780" spans="2:2" ht="12.5" x14ac:dyDescent="0.25">
      <c r="B780" s="8"/>
    </row>
    <row r="781" spans="2:2" ht="12.5" x14ac:dyDescent="0.25">
      <c r="B781" s="8"/>
    </row>
    <row r="782" spans="2:2" ht="12.5" x14ac:dyDescent="0.25">
      <c r="B782" s="8"/>
    </row>
    <row r="783" spans="2:2" ht="12.5" x14ac:dyDescent="0.25">
      <c r="B783" s="8"/>
    </row>
    <row r="784" spans="2:2" ht="12.5" x14ac:dyDescent="0.25">
      <c r="B784" s="8"/>
    </row>
    <row r="785" spans="2:2" ht="12.5" x14ac:dyDescent="0.25">
      <c r="B785" s="8"/>
    </row>
    <row r="786" spans="2:2" ht="12.5" x14ac:dyDescent="0.25">
      <c r="B786" s="8"/>
    </row>
    <row r="787" spans="2:2" ht="12.5" x14ac:dyDescent="0.25">
      <c r="B787" s="8"/>
    </row>
    <row r="788" spans="2:2" ht="12.5" x14ac:dyDescent="0.25">
      <c r="B788" s="8"/>
    </row>
    <row r="789" spans="2:2" ht="12.5" x14ac:dyDescent="0.25">
      <c r="B789" s="8"/>
    </row>
    <row r="790" spans="2:2" ht="12.5" x14ac:dyDescent="0.25">
      <c r="B790" s="8"/>
    </row>
    <row r="791" spans="2:2" ht="12.5" x14ac:dyDescent="0.25">
      <c r="B791" s="8"/>
    </row>
    <row r="792" spans="2:2" ht="12.5" x14ac:dyDescent="0.25">
      <c r="B792" s="8"/>
    </row>
    <row r="793" spans="2:2" ht="12.5" x14ac:dyDescent="0.25">
      <c r="B793" s="8"/>
    </row>
    <row r="794" spans="2:2" ht="12.5" x14ac:dyDescent="0.25">
      <c r="B794" s="8"/>
    </row>
    <row r="795" spans="2:2" ht="12.5" x14ac:dyDescent="0.25">
      <c r="B795" s="8"/>
    </row>
    <row r="796" spans="2:2" ht="12.5" x14ac:dyDescent="0.25">
      <c r="B796" s="8"/>
    </row>
    <row r="797" spans="2:2" ht="12.5" x14ac:dyDescent="0.25">
      <c r="B797" s="8"/>
    </row>
    <row r="798" spans="2:2" ht="12.5" x14ac:dyDescent="0.25">
      <c r="B798" s="8"/>
    </row>
    <row r="799" spans="2:2" ht="12.5" x14ac:dyDescent="0.25">
      <c r="B799" s="8"/>
    </row>
    <row r="800" spans="2:2" ht="12.5" x14ac:dyDescent="0.25">
      <c r="B800" s="8"/>
    </row>
    <row r="801" spans="2:2" ht="12.5" x14ac:dyDescent="0.25">
      <c r="B801" s="8"/>
    </row>
    <row r="802" spans="2:2" ht="12.5" x14ac:dyDescent="0.25">
      <c r="B802" s="8"/>
    </row>
    <row r="803" spans="2:2" ht="12.5" x14ac:dyDescent="0.25">
      <c r="B803" s="8"/>
    </row>
    <row r="804" spans="2:2" ht="12.5" x14ac:dyDescent="0.25">
      <c r="B804" s="8"/>
    </row>
    <row r="805" spans="2:2" ht="12.5" x14ac:dyDescent="0.25">
      <c r="B805" s="8"/>
    </row>
    <row r="806" spans="2:2" ht="12.5" x14ac:dyDescent="0.25">
      <c r="B806" s="8"/>
    </row>
    <row r="807" spans="2:2" ht="12.5" x14ac:dyDescent="0.25">
      <c r="B807" s="8"/>
    </row>
    <row r="808" spans="2:2" ht="12.5" x14ac:dyDescent="0.25">
      <c r="B808" s="8"/>
    </row>
    <row r="809" spans="2:2" ht="12.5" x14ac:dyDescent="0.25">
      <c r="B809" s="8"/>
    </row>
    <row r="810" spans="2:2" ht="12.5" x14ac:dyDescent="0.25">
      <c r="B810" s="8"/>
    </row>
    <row r="811" spans="2:2" ht="12.5" x14ac:dyDescent="0.25">
      <c r="B811" s="8"/>
    </row>
    <row r="812" spans="2:2" ht="12.5" x14ac:dyDescent="0.25">
      <c r="B812" s="8"/>
    </row>
    <row r="813" spans="2:2" ht="12.5" x14ac:dyDescent="0.25">
      <c r="B813" s="8"/>
    </row>
    <row r="814" spans="2:2" ht="12.5" x14ac:dyDescent="0.25">
      <c r="B814" s="8"/>
    </row>
    <row r="815" spans="2:2" ht="12.5" x14ac:dyDescent="0.25">
      <c r="B815" s="8"/>
    </row>
    <row r="816" spans="2:2" ht="12.5" x14ac:dyDescent="0.25">
      <c r="B816" s="8"/>
    </row>
    <row r="817" spans="2:2" ht="12.5" x14ac:dyDescent="0.25">
      <c r="B817" s="8"/>
    </row>
    <row r="818" spans="2:2" ht="12.5" x14ac:dyDescent="0.25">
      <c r="B818" s="8"/>
    </row>
    <row r="819" spans="2:2" ht="12.5" x14ac:dyDescent="0.25">
      <c r="B819" s="8"/>
    </row>
    <row r="820" spans="2:2" ht="12.5" x14ac:dyDescent="0.25">
      <c r="B820" s="8"/>
    </row>
    <row r="821" spans="2:2" ht="12.5" x14ac:dyDescent="0.25">
      <c r="B821" s="8"/>
    </row>
    <row r="822" spans="2:2" ht="12.5" x14ac:dyDescent="0.25">
      <c r="B822" s="8"/>
    </row>
    <row r="823" spans="2:2" ht="12.5" x14ac:dyDescent="0.25">
      <c r="B823" s="8"/>
    </row>
    <row r="824" spans="2:2" ht="12.5" x14ac:dyDescent="0.25">
      <c r="B824" s="8"/>
    </row>
    <row r="825" spans="2:2" ht="12.5" x14ac:dyDescent="0.25">
      <c r="B825" s="8"/>
    </row>
    <row r="826" spans="2:2" ht="12.5" x14ac:dyDescent="0.25">
      <c r="B826" s="8"/>
    </row>
    <row r="827" spans="2:2" ht="12.5" x14ac:dyDescent="0.25">
      <c r="B827" s="8"/>
    </row>
    <row r="828" spans="2:2" ht="12.5" x14ac:dyDescent="0.25">
      <c r="B828" s="8"/>
    </row>
    <row r="829" spans="2:2" ht="12.5" x14ac:dyDescent="0.25">
      <c r="B829" s="8"/>
    </row>
    <row r="830" spans="2:2" ht="12.5" x14ac:dyDescent="0.25">
      <c r="B830" s="8"/>
    </row>
    <row r="831" spans="2:2" ht="12.5" x14ac:dyDescent="0.25">
      <c r="B831" s="8"/>
    </row>
    <row r="832" spans="2:2" ht="12.5" x14ac:dyDescent="0.25">
      <c r="B832" s="8"/>
    </row>
    <row r="833" spans="2:2" ht="12.5" x14ac:dyDescent="0.25">
      <c r="B833" s="8"/>
    </row>
    <row r="834" spans="2:2" ht="12.5" x14ac:dyDescent="0.25">
      <c r="B834" s="8"/>
    </row>
    <row r="835" spans="2:2" ht="12.5" x14ac:dyDescent="0.25">
      <c r="B835" s="8"/>
    </row>
    <row r="836" spans="2:2" ht="12.5" x14ac:dyDescent="0.25">
      <c r="B836" s="8"/>
    </row>
    <row r="837" spans="2:2" ht="12.5" x14ac:dyDescent="0.25">
      <c r="B837" s="8"/>
    </row>
    <row r="838" spans="2:2" ht="12.5" x14ac:dyDescent="0.25">
      <c r="B838" s="8"/>
    </row>
    <row r="839" spans="2:2" ht="12.5" x14ac:dyDescent="0.25">
      <c r="B839" s="8"/>
    </row>
    <row r="840" spans="2:2" ht="12.5" x14ac:dyDescent="0.25">
      <c r="B840" s="8"/>
    </row>
    <row r="841" spans="2:2" ht="12.5" x14ac:dyDescent="0.25">
      <c r="B841" s="8"/>
    </row>
    <row r="842" spans="2:2" ht="12.5" x14ac:dyDescent="0.25">
      <c r="B842" s="8"/>
    </row>
    <row r="843" spans="2:2" ht="12.5" x14ac:dyDescent="0.25">
      <c r="B843" s="8"/>
    </row>
    <row r="844" spans="2:2" ht="12.5" x14ac:dyDescent="0.25">
      <c r="B844" s="8"/>
    </row>
    <row r="845" spans="2:2" ht="12.5" x14ac:dyDescent="0.25">
      <c r="B845" s="8"/>
    </row>
    <row r="846" spans="2:2" ht="12.5" x14ac:dyDescent="0.25">
      <c r="B846" s="8"/>
    </row>
    <row r="847" spans="2:2" ht="12.5" x14ac:dyDescent="0.25">
      <c r="B847" s="8"/>
    </row>
    <row r="848" spans="2:2" ht="12.5" x14ac:dyDescent="0.25">
      <c r="B848" s="8"/>
    </row>
    <row r="849" spans="2:2" ht="12.5" x14ac:dyDescent="0.25">
      <c r="B849" s="8"/>
    </row>
    <row r="850" spans="2:2" ht="12.5" x14ac:dyDescent="0.25">
      <c r="B850" s="8"/>
    </row>
    <row r="851" spans="2:2" ht="12.5" x14ac:dyDescent="0.25">
      <c r="B851" s="8"/>
    </row>
    <row r="852" spans="2:2" ht="12.5" x14ac:dyDescent="0.25">
      <c r="B852" s="8"/>
    </row>
    <row r="853" spans="2:2" ht="12.5" x14ac:dyDescent="0.25">
      <c r="B853" s="8"/>
    </row>
    <row r="854" spans="2:2" ht="12.5" x14ac:dyDescent="0.25">
      <c r="B854" s="8"/>
    </row>
    <row r="855" spans="2:2" ht="12.5" x14ac:dyDescent="0.25">
      <c r="B855" s="8"/>
    </row>
    <row r="856" spans="2:2" ht="12.5" x14ac:dyDescent="0.25">
      <c r="B856" s="8"/>
    </row>
    <row r="857" spans="2:2" ht="12.5" x14ac:dyDescent="0.25">
      <c r="B857" s="8"/>
    </row>
    <row r="858" spans="2:2" ht="12.5" x14ac:dyDescent="0.25">
      <c r="B858" s="8"/>
    </row>
    <row r="859" spans="2:2" ht="12.5" x14ac:dyDescent="0.25">
      <c r="B859" s="8"/>
    </row>
    <row r="860" spans="2:2" ht="12.5" x14ac:dyDescent="0.25">
      <c r="B860" s="8"/>
    </row>
    <row r="861" spans="2:2" ht="12.5" x14ac:dyDescent="0.25">
      <c r="B861" s="8"/>
    </row>
    <row r="862" spans="2:2" ht="12.5" x14ac:dyDescent="0.25">
      <c r="B862" s="8"/>
    </row>
    <row r="863" spans="2:2" ht="12.5" x14ac:dyDescent="0.25">
      <c r="B863" s="8"/>
    </row>
    <row r="864" spans="2:2" ht="12.5" x14ac:dyDescent="0.25">
      <c r="B864" s="8"/>
    </row>
    <row r="865" spans="2:2" ht="12.5" x14ac:dyDescent="0.25">
      <c r="B865" s="8"/>
    </row>
    <row r="866" spans="2:2" ht="12.5" x14ac:dyDescent="0.25">
      <c r="B866" s="8"/>
    </row>
    <row r="867" spans="2:2" ht="12.5" x14ac:dyDescent="0.25">
      <c r="B867" s="8"/>
    </row>
    <row r="868" spans="2:2" ht="12.5" x14ac:dyDescent="0.25">
      <c r="B868" s="8"/>
    </row>
    <row r="869" spans="2:2" ht="12.5" x14ac:dyDescent="0.25">
      <c r="B869" s="8"/>
    </row>
    <row r="870" spans="2:2" ht="12.5" x14ac:dyDescent="0.25">
      <c r="B870" s="8"/>
    </row>
    <row r="871" spans="2:2" ht="12.5" x14ac:dyDescent="0.25">
      <c r="B871" s="8"/>
    </row>
    <row r="872" spans="2:2" ht="12.5" x14ac:dyDescent="0.25">
      <c r="B872" s="8"/>
    </row>
    <row r="873" spans="2:2" ht="12.5" x14ac:dyDescent="0.25">
      <c r="B873" s="8"/>
    </row>
    <row r="874" spans="2:2" ht="12.5" x14ac:dyDescent="0.25">
      <c r="B874" s="8"/>
    </row>
    <row r="875" spans="2:2" ht="12.5" x14ac:dyDescent="0.25">
      <c r="B875" s="8"/>
    </row>
    <row r="876" spans="2:2" ht="12.5" x14ac:dyDescent="0.25">
      <c r="B876" s="8"/>
    </row>
    <row r="877" spans="2:2" ht="12.5" x14ac:dyDescent="0.25">
      <c r="B877" s="8"/>
    </row>
    <row r="878" spans="2:2" ht="12.5" x14ac:dyDescent="0.25">
      <c r="B878" s="8"/>
    </row>
    <row r="879" spans="2:2" ht="12.5" x14ac:dyDescent="0.25">
      <c r="B879" s="8"/>
    </row>
    <row r="880" spans="2:2" ht="12.5" x14ac:dyDescent="0.25">
      <c r="B880" s="8"/>
    </row>
    <row r="881" spans="2:2" ht="12.5" x14ac:dyDescent="0.25">
      <c r="B881" s="8"/>
    </row>
    <row r="882" spans="2:2" ht="12.5" x14ac:dyDescent="0.25">
      <c r="B882" s="8"/>
    </row>
    <row r="883" spans="2:2" ht="12.5" x14ac:dyDescent="0.25">
      <c r="B883" s="8"/>
    </row>
    <row r="884" spans="2:2" ht="12.5" x14ac:dyDescent="0.25">
      <c r="B884" s="8"/>
    </row>
    <row r="885" spans="2:2" ht="12.5" x14ac:dyDescent="0.25">
      <c r="B885" s="8"/>
    </row>
    <row r="886" spans="2:2" ht="12.5" x14ac:dyDescent="0.25">
      <c r="B886" s="8"/>
    </row>
    <row r="887" spans="2:2" ht="12.5" x14ac:dyDescent="0.25">
      <c r="B887" s="8"/>
    </row>
    <row r="888" spans="2:2" ht="12.5" x14ac:dyDescent="0.25">
      <c r="B888" s="8"/>
    </row>
    <row r="889" spans="2:2" ht="12.5" x14ac:dyDescent="0.25">
      <c r="B889" s="8"/>
    </row>
    <row r="890" spans="2:2" ht="12.5" x14ac:dyDescent="0.25">
      <c r="B890" s="8"/>
    </row>
    <row r="891" spans="2:2" ht="12.5" x14ac:dyDescent="0.25">
      <c r="B891" s="8"/>
    </row>
    <row r="892" spans="2:2" ht="12.5" x14ac:dyDescent="0.25">
      <c r="B892" s="8"/>
    </row>
    <row r="893" spans="2:2" ht="12.5" x14ac:dyDescent="0.25">
      <c r="B893" s="8"/>
    </row>
    <row r="894" spans="2:2" ht="12.5" x14ac:dyDescent="0.25">
      <c r="B894" s="8"/>
    </row>
    <row r="895" spans="2:2" ht="12.5" x14ac:dyDescent="0.25">
      <c r="B895" s="8"/>
    </row>
    <row r="896" spans="2:2" ht="12.5" x14ac:dyDescent="0.25">
      <c r="B896" s="8"/>
    </row>
    <row r="897" spans="2:2" ht="12.5" x14ac:dyDescent="0.25">
      <c r="B897" s="8"/>
    </row>
    <row r="898" spans="2:2" ht="12.5" x14ac:dyDescent="0.25">
      <c r="B898" s="8"/>
    </row>
    <row r="899" spans="2:2" ht="12.5" x14ac:dyDescent="0.25">
      <c r="B899" s="8"/>
    </row>
    <row r="900" spans="2:2" ht="12.5" x14ac:dyDescent="0.25">
      <c r="B900" s="8"/>
    </row>
    <row r="901" spans="2:2" ht="12.5" x14ac:dyDescent="0.25">
      <c r="B901" s="8"/>
    </row>
    <row r="902" spans="2:2" ht="12.5" x14ac:dyDescent="0.25">
      <c r="B902" s="8"/>
    </row>
    <row r="903" spans="2:2" ht="12.5" x14ac:dyDescent="0.25">
      <c r="B903" s="8"/>
    </row>
    <row r="904" spans="2:2" ht="12.5" x14ac:dyDescent="0.25">
      <c r="B904" s="8"/>
    </row>
    <row r="905" spans="2:2" ht="12.5" x14ac:dyDescent="0.25">
      <c r="B905" s="8"/>
    </row>
    <row r="906" spans="2:2" ht="12.5" x14ac:dyDescent="0.25">
      <c r="B906" s="8"/>
    </row>
    <row r="907" spans="2:2" ht="12.5" x14ac:dyDescent="0.25">
      <c r="B907" s="8"/>
    </row>
    <row r="908" spans="2:2" ht="12.5" x14ac:dyDescent="0.25">
      <c r="B908" s="8"/>
    </row>
    <row r="909" spans="2:2" ht="12.5" x14ac:dyDescent="0.25">
      <c r="B909" s="8"/>
    </row>
    <row r="910" spans="2:2" ht="12.5" x14ac:dyDescent="0.25">
      <c r="B910" s="8"/>
    </row>
    <row r="911" spans="2:2" ht="12.5" x14ac:dyDescent="0.25">
      <c r="B911" s="8"/>
    </row>
    <row r="912" spans="2:2" ht="12.5" x14ac:dyDescent="0.25">
      <c r="B912" s="8"/>
    </row>
    <row r="913" spans="2:2" ht="12.5" x14ac:dyDescent="0.25">
      <c r="B913" s="8"/>
    </row>
    <row r="914" spans="2:2" ht="12.5" x14ac:dyDescent="0.25">
      <c r="B914" s="8"/>
    </row>
    <row r="915" spans="2:2" ht="12.5" x14ac:dyDescent="0.25">
      <c r="B915" s="8"/>
    </row>
    <row r="916" spans="2:2" ht="12.5" x14ac:dyDescent="0.25">
      <c r="B916" s="8"/>
    </row>
    <row r="917" spans="2:2" ht="12.5" x14ac:dyDescent="0.25">
      <c r="B917" s="8"/>
    </row>
    <row r="918" spans="2:2" ht="12.5" x14ac:dyDescent="0.25">
      <c r="B918" s="8"/>
    </row>
    <row r="919" spans="2:2" ht="12.5" x14ac:dyDescent="0.25">
      <c r="B919" s="8"/>
    </row>
    <row r="920" spans="2:2" ht="12.5" x14ac:dyDescent="0.25">
      <c r="B920" s="8"/>
    </row>
    <row r="921" spans="2:2" ht="12.5" x14ac:dyDescent="0.25">
      <c r="B921" s="8"/>
    </row>
    <row r="922" spans="2:2" ht="12.5" x14ac:dyDescent="0.25">
      <c r="B922" s="8"/>
    </row>
    <row r="923" spans="2:2" ht="12.5" x14ac:dyDescent="0.25">
      <c r="B923" s="8"/>
    </row>
    <row r="924" spans="2:2" ht="12.5" x14ac:dyDescent="0.25">
      <c r="B924" s="8"/>
    </row>
    <row r="925" spans="2:2" ht="12.5" x14ac:dyDescent="0.25">
      <c r="B925" s="8"/>
    </row>
    <row r="926" spans="2:2" ht="12.5" x14ac:dyDescent="0.25">
      <c r="B926" s="8"/>
    </row>
    <row r="927" spans="2:2" ht="12.5" x14ac:dyDescent="0.25">
      <c r="B927" s="8"/>
    </row>
    <row r="928" spans="2:2" ht="12.5" x14ac:dyDescent="0.25">
      <c r="B928" s="8"/>
    </row>
    <row r="929" spans="2:2" ht="12.5" x14ac:dyDescent="0.25">
      <c r="B929" s="8"/>
    </row>
    <row r="930" spans="2:2" ht="12.5" x14ac:dyDescent="0.25">
      <c r="B930" s="8"/>
    </row>
    <row r="931" spans="2:2" ht="12.5" x14ac:dyDescent="0.25">
      <c r="B931" s="8"/>
    </row>
    <row r="932" spans="2:2" ht="12.5" x14ac:dyDescent="0.25">
      <c r="B932" s="8"/>
    </row>
    <row r="933" spans="2:2" ht="12.5" x14ac:dyDescent="0.25">
      <c r="B933" s="8"/>
    </row>
    <row r="934" spans="2:2" ht="12.5" x14ac:dyDescent="0.25">
      <c r="B934" s="8"/>
    </row>
    <row r="935" spans="2:2" ht="12.5" x14ac:dyDescent="0.25">
      <c r="B935" s="8"/>
    </row>
    <row r="936" spans="2:2" ht="12.5" x14ac:dyDescent="0.25">
      <c r="B936" s="8"/>
    </row>
    <row r="937" spans="2:2" ht="12.5" x14ac:dyDescent="0.25">
      <c r="B937" s="8"/>
    </row>
    <row r="938" spans="2:2" ht="12.5" x14ac:dyDescent="0.25">
      <c r="B938" s="8"/>
    </row>
    <row r="939" spans="2:2" ht="12.5" x14ac:dyDescent="0.25">
      <c r="B939" s="8"/>
    </row>
    <row r="940" spans="2:2" ht="12.5" x14ac:dyDescent="0.25">
      <c r="B940" s="8"/>
    </row>
    <row r="941" spans="2:2" ht="12.5" x14ac:dyDescent="0.25">
      <c r="B941" s="8"/>
    </row>
    <row r="942" spans="2:2" ht="12.5" x14ac:dyDescent="0.25">
      <c r="B942" s="8"/>
    </row>
    <row r="943" spans="2:2" ht="12.5" x14ac:dyDescent="0.25">
      <c r="B943" s="8"/>
    </row>
    <row r="944" spans="2:2" ht="12.5" x14ac:dyDescent="0.25">
      <c r="B944" s="8"/>
    </row>
    <row r="945" spans="2:2" ht="12.5" x14ac:dyDescent="0.25">
      <c r="B945" s="8"/>
    </row>
    <row r="946" spans="2:2" ht="12.5" x14ac:dyDescent="0.25">
      <c r="B946" s="8"/>
    </row>
    <row r="947" spans="2:2" ht="12.5" x14ac:dyDescent="0.25">
      <c r="B947" s="8"/>
    </row>
    <row r="948" spans="2:2" ht="12.5" x14ac:dyDescent="0.25">
      <c r="B948" s="8"/>
    </row>
    <row r="949" spans="2:2" ht="12.5" x14ac:dyDescent="0.25">
      <c r="B949" s="8"/>
    </row>
    <row r="950" spans="2:2" ht="12.5" x14ac:dyDescent="0.25">
      <c r="B950" s="8"/>
    </row>
    <row r="951" spans="2:2" ht="12.5" x14ac:dyDescent="0.25">
      <c r="B951" s="8"/>
    </row>
    <row r="952" spans="2:2" ht="12.5" x14ac:dyDescent="0.25">
      <c r="B952" s="8"/>
    </row>
    <row r="953" spans="2:2" ht="12.5" x14ac:dyDescent="0.25">
      <c r="B953" s="8"/>
    </row>
    <row r="954" spans="2:2" ht="12.5" x14ac:dyDescent="0.25">
      <c r="B954" s="8"/>
    </row>
    <row r="955" spans="2:2" ht="12.5" x14ac:dyDescent="0.25">
      <c r="B955" s="8"/>
    </row>
    <row r="956" spans="2:2" ht="12.5" x14ac:dyDescent="0.25">
      <c r="B956" s="8"/>
    </row>
    <row r="957" spans="2:2" ht="12.5" x14ac:dyDescent="0.25">
      <c r="B957" s="8"/>
    </row>
    <row r="958" spans="2:2" ht="12.5" x14ac:dyDescent="0.25">
      <c r="B958" s="8"/>
    </row>
    <row r="959" spans="2:2" ht="12.5" x14ac:dyDescent="0.25">
      <c r="B959" s="8"/>
    </row>
    <row r="960" spans="2:2" ht="12.5" x14ac:dyDescent="0.25">
      <c r="B960" s="8"/>
    </row>
    <row r="961" spans="2:2" ht="12.5" x14ac:dyDescent="0.25">
      <c r="B961" s="8"/>
    </row>
    <row r="962" spans="2:2" ht="12.5" x14ac:dyDescent="0.25">
      <c r="B962" s="8"/>
    </row>
    <row r="963" spans="2:2" ht="12.5" x14ac:dyDescent="0.25">
      <c r="B963" s="8"/>
    </row>
    <row r="964" spans="2:2" ht="12.5" x14ac:dyDescent="0.25">
      <c r="B964" s="8"/>
    </row>
    <row r="965" spans="2:2" ht="12.5" x14ac:dyDescent="0.25">
      <c r="B965" s="8"/>
    </row>
    <row r="966" spans="2:2" ht="12.5" x14ac:dyDescent="0.25">
      <c r="B966" s="8"/>
    </row>
    <row r="967" spans="2:2" ht="12.5" x14ac:dyDescent="0.25">
      <c r="B967" s="8"/>
    </row>
    <row r="968" spans="2:2" ht="12.5" x14ac:dyDescent="0.25">
      <c r="B968" s="8"/>
    </row>
    <row r="969" spans="2:2" ht="12.5" x14ac:dyDescent="0.25">
      <c r="B969" s="8"/>
    </row>
    <row r="970" spans="2:2" ht="12.5" x14ac:dyDescent="0.25">
      <c r="B970" s="8"/>
    </row>
    <row r="971" spans="2:2" ht="12.5" x14ac:dyDescent="0.25">
      <c r="B971" s="8"/>
    </row>
    <row r="972" spans="2:2" ht="12.5" x14ac:dyDescent="0.25">
      <c r="B972" s="8"/>
    </row>
    <row r="973" spans="2:2" ht="12.5" x14ac:dyDescent="0.25">
      <c r="B973" s="8"/>
    </row>
    <row r="974" spans="2:2" ht="12.5" x14ac:dyDescent="0.25">
      <c r="B974" s="8"/>
    </row>
    <row r="975" spans="2:2" ht="12.5" x14ac:dyDescent="0.25">
      <c r="B975" s="8"/>
    </row>
    <row r="976" spans="2:2" ht="12.5" x14ac:dyDescent="0.25">
      <c r="B976" s="8"/>
    </row>
    <row r="977" spans="2:2" ht="12.5" x14ac:dyDescent="0.25">
      <c r="B977" s="8"/>
    </row>
    <row r="978" spans="2:2" ht="12.5" x14ac:dyDescent="0.25">
      <c r="B978" s="8"/>
    </row>
    <row r="979" spans="2:2" ht="12.5" x14ac:dyDescent="0.25">
      <c r="B979" s="8"/>
    </row>
    <row r="980" spans="2:2" ht="12.5" x14ac:dyDescent="0.25">
      <c r="B980" s="8"/>
    </row>
    <row r="981" spans="2:2" ht="12.5" x14ac:dyDescent="0.25">
      <c r="B981" s="8"/>
    </row>
    <row r="982" spans="2:2" ht="12.5" x14ac:dyDescent="0.25">
      <c r="B982" s="8"/>
    </row>
    <row r="983" spans="2:2" ht="12.5" x14ac:dyDescent="0.25">
      <c r="B983" s="8"/>
    </row>
    <row r="984" spans="2:2" ht="12.5" x14ac:dyDescent="0.25">
      <c r="B984" s="8"/>
    </row>
    <row r="985" spans="2:2" ht="12.5" x14ac:dyDescent="0.25">
      <c r="B985" s="8"/>
    </row>
    <row r="986" spans="2:2" ht="12.5" x14ac:dyDescent="0.25">
      <c r="B986" s="8"/>
    </row>
    <row r="987" spans="2:2" ht="12.5" x14ac:dyDescent="0.25">
      <c r="B987" s="8"/>
    </row>
    <row r="988" spans="2:2" ht="12.5" x14ac:dyDescent="0.25">
      <c r="B988" s="8"/>
    </row>
    <row r="989" spans="2:2" ht="12.5" x14ac:dyDescent="0.25">
      <c r="B989" s="8"/>
    </row>
    <row r="990" spans="2:2" ht="12.5" x14ac:dyDescent="0.25">
      <c r="B990" s="8"/>
    </row>
    <row r="991" spans="2:2" ht="12.5" x14ac:dyDescent="0.25">
      <c r="B991" s="8"/>
    </row>
    <row r="992" spans="2:2" ht="12.5" x14ac:dyDescent="0.25">
      <c r="B992" s="8"/>
    </row>
    <row r="993" spans="2:2" ht="12.5" x14ac:dyDescent="0.25">
      <c r="B993" s="8"/>
    </row>
    <row r="994" spans="2:2" ht="12.5" x14ac:dyDescent="0.25">
      <c r="B994" s="8"/>
    </row>
    <row r="995" spans="2:2" ht="12.5" x14ac:dyDescent="0.25">
      <c r="B995" s="8"/>
    </row>
    <row r="996" spans="2:2" ht="12.5" x14ac:dyDescent="0.25">
      <c r="B996" s="8"/>
    </row>
    <row r="997" spans="2:2" ht="12.5" x14ac:dyDescent="0.25">
      <c r="B997" s="8"/>
    </row>
    <row r="998" spans="2:2" ht="12.5" x14ac:dyDescent="0.25">
      <c r="B998" s="8"/>
    </row>
    <row r="999" spans="2:2" ht="12.5" x14ac:dyDescent="0.25">
      <c r="B999" s="8"/>
    </row>
    <row r="1000" spans="2:2" ht="12.5" x14ac:dyDescent="0.25">
      <c r="B1000" s="8"/>
    </row>
    <row r="1001" spans="2:2" ht="12.5" x14ac:dyDescent="0.25">
      <c r="B1001" s="8"/>
    </row>
    <row r="1002" spans="2:2" ht="12.5" x14ac:dyDescent="0.25">
      <c r="B1002" s="8"/>
    </row>
    <row r="1003" spans="2:2" ht="12.5" x14ac:dyDescent="0.25">
      <c r="B1003" s="8"/>
    </row>
    <row r="1004" spans="2:2" ht="12.5" x14ac:dyDescent="0.25">
      <c r="B1004" s="8"/>
    </row>
    <row r="1005" spans="2:2" ht="12.5" x14ac:dyDescent="0.25">
      <c r="B1005" s="8"/>
    </row>
    <row r="1006" spans="2:2" ht="12.5" x14ac:dyDescent="0.25">
      <c r="B1006" s="8"/>
    </row>
    <row r="1007" spans="2:2" ht="12.5" x14ac:dyDescent="0.25">
      <c r="B1007" s="8"/>
    </row>
    <row r="1008" spans="2:2" ht="12.5" x14ac:dyDescent="0.25">
      <c r="B1008" s="8"/>
    </row>
    <row r="1009" spans="2:2" ht="12.5" x14ac:dyDescent="0.25">
      <c r="B1009" s="8"/>
    </row>
    <row r="1010" spans="2:2" ht="12.5" x14ac:dyDescent="0.25">
      <c r="B1010" s="8"/>
    </row>
    <row r="1011" spans="2:2" ht="12.5" x14ac:dyDescent="0.25">
      <c r="B1011" s="8"/>
    </row>
    <row r="1012" spans="2:2" ht="12.5" x14ac:dyDescent="0.25">
      <c r="B1012" s="8"/>
    </row>
    <row r="1013" spans="2:2" ht="12.5" x14ac:dyDescent="0.25">
      <c r="B1013" s="8"/>
    </row>
    <row r="1014" spans="2:2" ht="15.75" customHeight="1" x14ac:dyDescent="0.25">
      <c r="B101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5E8D-C8D9-473F-B8B8-459E4DD35807}">
  <sheetPr>
    <outlinePr summaryBelow="0" summaryRight="0"/>
  </sheetPr>
  <dimension ref="A2:AM1007"/>
  <sheetViews>
    <sheetView tabSelected="1" topLeftCell="E19" zoomScale="80" zoomScaleNormal="80" workbookViewId="0">
      <selection activeCell="L34" sqref="L34"/>
    </sheetView>
  </sheetViews>
  <sheetFormatPr defaultColWidth="12.6328125" defaultRowHeight="15.75" customHeight="1" x14ac:dyDescent="0.25"/>
  <cols>
    <col min="1" max="1" width="15.6328125" bestFit="1" customWidth="1"/>
    <col min="4" max="4" width="15.6328125" bestFit="1" customWidth="1"/>
    <col min="5" max="5" width="15.26953125" bestFit="1" customWidth="1"/>
    <col min="7" max="7" width="15.6328125" bestFit="1" customWidth="1"/>
    <col min="10" max="10" width="15.6328125" bestFit="1" customWidth="1"/>
    <col min="13" max="13" width="15.6328125" bestFit="1" customWidth="1"/>
    <col min="16" max="16" width="15.6328125" bestFit="1" customWidth="1"/>
    <col min="19" max="19" width="15.6328125" bestFit="1" customWidth="1"/>
    <col min="22" max="22" width="15.6328125" bestFit="1" customWidth="1"/>
    <col min="25" max="25" width="15.6328125" bestFit="1" customWidth="1"/>
    <col min="28" max="28" width="15.6328125" bestFit="1" customWidth="1"/>
    <col min="31" max="31" width="15.6328125" bestFit="1" customWidth="1"/>
    <col min="34" max="34" width="15.6328125" bestFit="1" customWidth="1"/>
  </cols>
  <sheetData>
    <row r="2" spans="1:38" s="27" customFormat="1" ht="15.75" customHeight="1" x14ac:dyDescent="0.25">
      <c r="A2" s="35" t="s">
        <v>70</v>
      </c>
      <c r="B2" s="35"/>
      <c r="D2" s="35" t="s">
        <v>71</v>
      </c>
      <c r="E2" s="35"/>
      <c r="G2" s="35" t="s">
        <v>72</v>
      </c>
      <c r="H2" s="35"/>
      <c r="J2" s="35" t="s">
        <v>73</v>
      </c>
      <c r="K2" s="35"/>
      <c r="M2" s="35" t="s">
        <v>74</v>
      </c>
      <c r="N2" s="35"/>
      <c r="P2" s="35" t="s">
        <v>75</v>
      </c>
      <c r="Q2" s="35"/>
      <c r="S2" s="35" t="s">
        <v>76</v>
      </c>
      <c r="T2" s="35"/>
      <c r="V2" s="35" t="s">
        <v>62</v>
      </c>
      <c r="W2" s="35"/>
      <c r="Y2" s="35" t="s">
        <v>63</v>
      </c>
      <c r="Z2" s="35"/>
      <c r="AB2" s="35" t="s">
        <v>64</v>
      </c>
      <c r="AC2" s="35"/>
      <c r="AE2" s="35" t="s">
        <v>65</v>
      </c>
      <c r="AF2" s="35"/>
      <c r="AH2" s="35" t="s">
        <v>66</v>
      </c>
      <c r="AI2" s="35"/>
    </row>
    <row r="3" spans="1:38" ht="15.75" customHeight="1" x14ac:dyDescent="0.25">
      <c r="A3" s="1"/>
      <c r="B3" s="9"/>
      <c r="D3" s="1"/>
      <c r="E3" s="9"/>
      <c r="G3" s="1"/>
      <c r="H3" s="9"/>
      <c r="J3" s="1"/>
      <c r="K3" s="9"/>
      <c r="M3" s="1"/>
      <c r="N3" s="9"/>
      <c r="P3" s="1"/>
      <c r="Q3" s="9"/>
      <c r="S3" s="1"/>
      <c r="T3" s="9"/>
      <c r="V3" s="1"/>
      <c r="W3" s="9"/>
      <c r="Y3" s="1"/>
      <c r="Z3" s="9"/>
      <c r="AB3" s="1"/>
      <c r="AC3" s="9"/>
      <c r="AE3" s="1"/>
      <c r="AF3" s="9"/>
      <c r="AH3" s="1"/>
      <c r="AI3" s="9"/>
    </row>
    <row r="4" spans="1:38" ht="15.75" customHeight="1" x14ac:dyDescent="0.25">
      <c r="A4" s="2" t="s">
        <v>52</v>
      </c>
      <c r="B4" s="10" t="s">
        <v>2</v>
      </c>
      <c r="D4" s="2" t="s">
        <v>80</v>
      </c>
      <c r="E4" s="10" t="s">
        <v>2</v>
      </c>
      <c r="F4" s="11"/>
      <c r="G4" s="2" t="s">
        <v>84</v>
      </c>
      <c r="H4" s="10" t="s">
        <v>2</v>
      </c>
      <c r="J4" s="2" t="s">
        <v>88</v>
      </c>
      <c r="K4" s="10" t="s">
        <v>2</v>
      </c>
      <c r="M4" s="2" t="s">
        <v>93</v>
      </c>
      <c r="N4" s="10" t="s">
        <v>2</v>
      </c>
      <c r="P4" s="2" t="s">
        <v>97</v>
      </c>
      <c r="Q4" s="10" t="s">
        <v>2</v>
      </c>
      <c r="R4" s="11"/>
      <c r="S4" s="2" t="s">
        <v>101</v>
      </c>
      <c r="T4" s="10" t="s">
        <v>2</v>
      </c>
      <c r="V4" s="2" t="s">
        <v>106</v>
      </c>
      <c r="W4" s="10" t="s">
        <v>2</v>
      </c>
      <c r="Y4" s="2" t="s">
        <v>110</v>
      </c>
      <c r="Z4" s="10" t="s">
        <v>2</v>
      </c>
      <c r="AB4" s="2" t="s">
        <v>114</v>
      </c>
      <c r="AC4" s="10" t="s">
        <v>2</v>
      </c>
      <c r="AD4" s="11"/>
      <c r="AE4" s="2" t="s">
        <v>119</v>
      </c>
      <c r="AF4" s="10" t="s">
        <v>2</v>
      </c>
      <c r="AH4" s="2" t="s">
        <v>123</v>
      </c>
      <c r="AI4" s="10" t="s">
        <v>2</v>
      </c>
    </row>
    <row r="5" spans="1:38" ht="15.75" customHeight="1" x14ac:dyDescent="0.25">
      <c r="A5" s="1" t="s">
        <v>21</v>
      </c>
      <c r="B5" s="9">
        <f>71.65+24+16</f>
        <v>111.65</v>
      </c>
      <c r="D5" s="1" t="s">
        <v>21</v>
      </c>
      <c r="E5" s="9">
        <f>16.5+14</f>
        <v>30.5</v>
      </c>
      <c r="F5" s="11"/>
      <c r="G5" s="1" t="s">
        <v>21</v>
      </c>
      <c r="H5" s="9">
        <f>46.18+5</f>
        <v>51.18</v>
      </c>
      <c r="J5" s="1" t="s">
        <v>21</v>
      </c>
      <c r="K5" s="9">
        <f>100.73+53+15/3</f>
        <v>158.73000000000002</v>
      </c>
      <c r="M5" s="1" t="s">
        <v>21</v>
      </c>
      <c r="N5" s="9"/>
      <c r="P5" s="1" t="s">
        <v>21</v>
      </c>
      <c r="Q5" s="9"/>
      <c r="R5" s="11"/>
      <c r="S5" s="1" t="s">
        <v>21</v>
      </c>
      <c r="T5" s="9"/>
      <c r="V5" s="1" t="s">
        <v>21</v>
      </c>
      <c r="W5" s="9"/>
      <c r="Y5" s="1" t="s">
        <v>21</v>
      </c>
      <c r="Z5" s="9"/>
      <c r="AB5" s="1" t="s">
        <v>21</v>
      </c>
      <c r="AC5" s="9"/>
      <c r="AD5" s="11"/>
      <c r="AE5" s="1" t="s">
        <v>21</v>
      </c>
      <c r="AF5" s="9"/>
      <c r="AH5" s="1" t="s">
        <v>21</v>
      </c>
      <c r="AI5" s="9"/>
    </row>
    <row r="6" spans="1:38" ht="15.75" customHeight="1" x14ac:dyDescent="0.25">
      <c r="A6" s="1" t="s">
        <v>12</v>
      </c>
      <c r="B6" s="9">
        <f>11.8+9.3+9+5+3</f>
        <v>38.1</v>
      </c>
      <c r="D6" s="1" t="s">
        <v>12</v>
      </c>
      <c r="E6" s="9">
        <f>4+22.5</f>
        <v>26.5</v>
      </c>
      <c r="F6" s="11"/>
      <c r="G6" s="1" t="s">
        <v>12</v>
      </c>
      <c r="H6" s="9">
        <f>52.6+41+32+9+8+5.9+5</f>
        <v>153.5</v>
      </c>
      <c r="J6" s="1" t="s">
        <v>12</v>
      </c>
      <c r="K6" s="9">
        <f>13+9+4</f>
        <v>26</v>
      </c>
      <c r="M6" s="1" t="s">
        <v>12</v>
      </c>
      <c r="N6" s="9"/>
      <c r="P6" s="1" t="s">
        <v>12</v>
      </c>
      <c r="Q6" s="9"/>
      <c r="R6" s="11"/>
      <c r="S6" s="1" t="s">
        <v>12</v>
      </c>
      <c r="T6" s="9"/>
      <c r="V6" s="1" t="s">
        <v>12</v>
      </c>
      <c r="W6" s="9"/>
      <c r="Y6" s="1" t="s">
        <v>12</v>
      </c>
      <c r="Z6" s="9"/>
      <c r="AB6" s="1" t="s">
        <v>12</v>
      </c>
      <c r="AC6" s="9"/>
      <c r="AD6" s="11"/>
      <c r="AE6" s="1" t="s">
        <v>12</v>
      </c>
      <c r="AF6" s="9"/>
      <c r="AH6" s="1" t="s">
        <v>12</v>
      </c>
      <c r="AI6" s="9"/>
    </row>
    <row r="7" spans="1:38" ht="15.75" customHeight="1" x14ac:dyDescent="0.25">
      <c r="A7" s="1" t="s">
        <v>24</v>
      </c>
      <c r="B7" s="19">
        <f>B6+B5</f>
        <v>149.75</v>
      </c>
      <c r="D7" s="1" t="s">
        <v>24</v>
      </c>
      <c r="E7" s="19">
        <f>E6+E5</f>
        <v>57</v>
      </c>
      <c r="F7" s="13"/>
      <c r="G7" s="1" t="s">
        <v>24</v>
      </c>
      <c r="H7" s="19">
        <f>H6+H5</f>
        <v>204.68</v>
      </c>
      <c r="J7" s="1" t="s">
        <v>24</v>
      </c>
      <c r="K7" s="16">
        <f>K6+K5</f>
        <v>184.73000000000002</v>
      </c>
      <c r="M7" s="1" t="s">
        <v>24</v>
      </c>
      <c r="N7" s="9"/>
      <c r="P7" s="1" t="s">
        <v>24</v>
      </c>
      <c r="Q7" s="9"/>
      <c r="R7" s="13"/>
      <c r="S7" s="1" t="s">
        <v>24</v>
      </c>
      <c r="T7" s="9"/>
      <c r="V7" s="1" t="s">
        <v>24</v>
      </c>
      <c r="W7" s="9"/>
      <c r="Y7" s="1" t="s">
        <v>24</v>
      </c>
      <c r="Z7" s="9"/>
      <c r="AB7" s="1" t="s">
        <v>24</v>
      </c>
      <c r="AC7" s="9"/>
      <c r="AD7" s="13"/>
      <c r="AE7" s="1" t="s">
        <v>24</v>
      </c>
      <c r="AF7" s="9"/>
      <c r="AH7" s="1" t="s">
        <v>24</v>
      </c>
      <c r="AI7" s="9"/>
      <c r="AK7" s="43" t="s">
        <v>133</v>
      </c>
    </row>
    <row r="8" spans="1:38" ht="15.75" customHeight="1" x14ac:dyDescent="0.25">
      <c r="A8" s="1"/>
      <c r="B8" s="9"/>
      <c r="D8" s="1"/>
      <c r="E8" s="9"/>
      <c r="F8" s="13"/>
      <c r="G8" s="1"/>
      <c r="H8" s="9"/>
      <c r="J8" s="1"/>
      <c r="K8" s="9"/>
      <c r="M8" s="1"/>
      <c r="N8" s="9"/>
      <c r="P8" s="1"/>
      <c r="Q8" s="9"/>
      <c r="R8" s="13"/>
      <c r="S8" s="1"/>
      <c r="T8" s="9"/>
      <c r="V8" s="1"/>
      <c r="W8" s="9"/>
      <c r="Y8" s="1"/>
      <c r="Z8" s="9"/>
      <c r="AB8" s="1"/>
      <c r="AC8" s="9"/>
      <c r="AD8" s="13"/>
      <c r="AE8" s="1"/>
      <c r="AF8" s="9"/>
      <c r="AH8" s="1"/>
      <c r="AI8" s="9"/>
      <c r="AK8" t="s">
        <v>8</v>
      </c>
    </row>
    <row r="9" spans="1:38" ht="15.75" customHeight="1" x14ac:dyDescent="0.25">
      <c r="A9" s="2" t="s">
        <v>53</v>
      </c>
      <c r="B9" s="10" t="s">
        <v>2</v>
      </c>
      <c r="D9" s="2" t="s">
        <v>81</v>
      </c>
      <c r="E9" s="10" t="s">
        <v>2</v>
      </c>
      <c r="F9" s="13"/>
      <c r="G9" s="2" t="s">
        <v>85</v>
      </c>
      <c r="H9" s="10" t="s">
        <v>2</v>
      </c>
      <c r="J9" s="2" t="s">
        <v>89</v>
      </c>
      <c r="K9" s="10" t="s">
        <v>2</v>
      </c>
      <c r="M9" s="2" t="s">
        <v>94</v>
      </c>
      <c r="N9" s="10" t="s">
        <v>2</v>
      </c>
      <c r="P9" s="2" t="s">
        <v>98</v>
      </c>
      <c r="Q9" s="10" t="s">
        <v>2</v>
      </c>
      <c r="R9" s="13"/>
      <c r="S9" s="2" t="s">
        <v>102</v>
      </c>
      <c r="T9" s="10" t="s">
        <v>2</v>
      </c>
      <c r="V9" s="2" t="s">
        <v>107</v>
      </c>
      <c r="W9" s="10" t="s">
        <v>2</v>
      </c>
      <c r="Y9" s="2" t="s">
        <v>111</v>
      </c>
      <c r="Z9" s="10" t="s">
        <v>2</v>
      </c>
      <c r="AB9" s="2" t="s">
        <v>115</v>
      </c>
      <c r="AC9" s="10" t="s">
        <v>2</v>
      </c>
      <c r="AD9" s="13"/>
      <c r="AE9" s="2" t="s">
        <v>120</v>
      </c>
      <c r="AF9" s="10" t="s">
        <v>2</v>
      </c>
      <c r="AH9" s="2" t="s">
        <v>124</v>
      </c>
      <c r="AI9" s="10" t="s">
        <v>2</v>
      </c>
      <c r="AK9" t="s">
        <v>79</v>
      </c>
    </row>
    <row r="10" spans="1:38" ht="15.75" customHeight="1" x14ac:dyDescent="0.25">
      <c r="A10" s="1" t="s">
        <v>21</v>
      </c>
      <c r="B10" s="9">
        <f>57.3+33+14.6</f>
        <v>104.89999999999999</v>
      </c>
      <c r="D10" s="1" t="s">
        <v>21</v>
      </c>
      <c r="E10" s="9">
        <f>0</f>
        <v>0</v>
      </c>
      <c r="F10" s="13"/>
      <c r="G10" s="1" t="s">
        <v>21</v>
      </c>
      <c r="H10" s="9">
        <f>0</f>
        <v>0</v>
      </c>
      <c r="J10" s="1" t="s">
        <v>21</v>
      </c>
      <c r="K10" s="9">
        <f>51.7+46.5+9.3</f>
        <v>107.5</v>
      </c>
      <c r="M10" s="1" t="s">
        <v>21</v>
      </c>
      <c r="N10" s="9"/>
      <c r="P10" s="1" t="s">
        <v>21</v>
      </c>
      <c r="Q10" s="9"/>
      <c r="R10" s="13"/>
      <c r="S10" s="1" t="s">
        <v>21</v>
      </c>
      <c r="T10" s="9"/>
      <c r="V10" s="1" t="s">
        <v>21</v>
      </c>
      <c r="W10" s="9"/>
      <c r="Y10" s="1" t="s">
        <v>21</v>
      </c>
      <c r="Z10" s="9"/>
      <c r="AB10" s="1" t="s">
        <v>21</v>
      </c>
      <c r="AC10" s="9"/>
      <c r="AD10" s="13"/>
      <c r="AE10" s="1" t="s">
        <v>21</v>
      </c>
      <c r="AF10" s="9"/>
      <c r="AH10" s="1" t="s">
        <v>21</v>
      </c>
      <c r="AI10" s="9"/>
      <c r="AK10" t="s">
        <v>7</v>
      </c>
    </row>
    <row r="11" spans="1:38" ht="15.75" customHeight="1" x14ac:dyDescent="0.25">
      <c r="A11" s="1" t="s">
        <v>12</v>
      </c>
      <c r="B11" s="9">
        <f>5.9+4</f>
        <v>9.9</v>
      </c>
      <c r="D11" s="1" t="s">
        <v>128</v>
      </c>
      <c r="E11" s="9">
        <f>32+18.9+108.34+37.6+24</f>
        <v>220.84</v>
      </c>
      <c r="F11" s="13"/>
      <c r="G11" s="1" t="s">
        <v>12</v>
      </c>
      <c r="H11" s="9">
        <f>22</f>
        <v>22</v>
      </c>
      <c r="J11" s="1" t="s">
        <v>12</v>
      </c>
      <c r="K11" s="9">
        <f>21.5+8</f>
        <v>29.5</v>
      </c>
      <c r="M11" s="1" t="s">
        <v>12</v>
      </c>
      <c r="N11" s="9"/>
      <c r="P11" s="1" t="s">
        <v>12</v>
      </c>
      <c r="Q11" s="9"/>
      <c r="R11" s="13"/>
      <c r="S11" s="1" t="s">
        <v>12</v>
      </c>
      <c r="T11" s="9"/>
      <c r="V11" s="1" t="s">
        <v>12</v>
      </c>
      <c r="W11" s="9"/>
      <c r="Y11" s="1" t="s">
        <v>12</v>
      </c>
      <c r="Z11" s="9"/>
      <c r="AB11" s="1" t="s">
        <v>12</v>
      </c>
      <c r="AC11" s="9"/>
      <c r="AD11" s="13"/>
      <c r="AE11" s="1" t="s">
        <v>12</v>
      </c>
      <c r="AF11" s="9"/>
      <c r="AH11" s="1" t="s">
        <v>12</v>
      </c>
      <c r="AI11" s="9"/>
    </row>
    <row r="12" spans="1:38" ht="15.75" customHeight="1" x14ac:dyDescent="0.25">
      <c r="A12" s="1" t="s">
        <v>24</v>
      </c>
      <c r="B12" s="19">
        <f>B11+B10</f>
        <v>114.8</v>
      </c>
      <c r="D12" s="1" t="s">
        <v>24</v>
      </c>
      <c r="E12" s="19">
        <f>E11+E10</f>
        <v>220.84</v>
      </c>
      <c r="F12" s="13"/>
      <c r="G12" s="1" t="s">
        <v>24</v>
      </c>
      <c r="H12" s="19">
        <f>H10+H11</f>
        <v>22</v>
      </c>
      <c r="J12" s="1" t="s">
        <v>24</v>
      </c>
      <c r="K12" s="16">
        <f>K11+K10</f>
        <v>137</v>
      </c>
      <c r="M12" s="1" t="s">
        <v>24</v>
      </c>
      <c r="N12" s="9"/>
      <c r="P12" s="1" t="s">
        <v>24</v>
      </c>
      <c r="Q12" s="9"/>
      <c r="R12" s="13"/>
      <c r="S12" s="1" t="s">
        <v>24</v>
      </c>
      <c r="T12" s="9"/>
      <c r="V12" s="1" t="s">
        <v>24</v>
      </c>
      <c r="W12" s="9"/>
      <c r="Y12" s="1" t="s">
        <v>24</v>
      </c>
      <c r="Z12" s="9"/>
      <c r="AB12" s="1" t="s">
        <v>24</v>
      </c>
      <c r="AC12" s="9"/>
      <c r="AD12" s="13"/>
      <c r="AE12" s="1" t="s">
        <v>24</v>
      </c>
      <c r="AF12" s="9"/>
      <c r="AH12" s="1" t="s">
        <v>24</v>
      </c>
      <c r="AI12" s="9"/>
    </row>
    <row r="13" spans="1:38" ht="15.75" customHeight="1" x14ac:dyDescent="0.25">
      <c r="A13" s="1"/>
      <c r="B13" s="9"/>
      <c r="D13" s="1"/>
      <c r="E13" s="9"/>
      <c r="F13" s="9"/>
      <c r="G13" s="1"/>
      <c r="H13" s="9"/>
      <c r="J13" s="1"/>
      <c r="K13" s="9"/>
      <c r="L13" s="9"/>
      <c r="M13" s="1"/>
      <c r="N13" s="9"/>
      <c r="P13" s="1"/>
      <c r="Q13" s="9"/>
      <c r="R13" s="9"/>
      <c r="S13" s="1"/>
      <c r="T13" s="9"/>
      <c r="V13" s="1"/>
      <c r="W13" s="9"/>
      <c r="X13" s="9"/>
      <c r="Y13" s="1"/>
      <c r="Z13" s="9"/>
      <c r="AB13" s="1"/>
      <c r="AC13" s="9"/>
      <c r="AD13" s="9"/>
      <c r="AE13" s="1"/>
      <c r="AF13" s="9"/>
      <c r="AH13" s="1"/>
      <c r="AI13" s="9"/>
    </row>
    <row r="14" spans="1:38" ht="15.75" customHeight="1" x14ac:dyDescent="0.25">
      <c r="A14" s="2" t="s">
        <v>54</v>
      </c>
      <c r="B14" s="10" t="s">
        <v>2</v>
      </c>
      <c r="D14" s="2" t="s">
        <v>82</v>
      </c>
      <c r="E14" s="10" t="s">
        <v>2</v>
      </c>
      <c r="G14" s="2" t="s">
        <v>86</v>
      </c>
      <c r="H14" s="10" t="s">
        <v>2</v>
      </c>
      <c r="J14" s="2" t="s">
        <v>90</v>
      </c>
      <c r="K14" s="10" t="s">
        <v>2</v>
      </c>
      <c r="M14" s="2" t="s">
        <v>95</v>
      </c>
      <c r="N14" s="10" t="s">
        <v>2</v>
      </c>
      <c r="P14" s="2" t="s">
        <v>99</v>
      </c>
      <c r="Q14" s="10" t="s">
        <v>2</v>
      </c>
      <c r="S14" s="2" t="s">
        <v>103</v>
      </c>
      <c r="T14" s="10" t="s">
        <v>2</v>
      </c>
      <c r="V14" s="2" t="s">
        <v>108</v>
      </c>
      <c r="W14" s="10" t="s">
        <v>2</v>
      </c>
      <c r="Y14" s="2" t="s">
        <v>112</v>
      </c>
      <c r="Z14" s="10" t="s">
        <v>2</v>
      </c>
      <c r="AB14" s="2" t="s">
        <v>116</v>
      </c>
      <c r="AC14" s="10" t="s">
        <v>2</v>
      </c>
      <c r="AE14" s="2" t="s">
        <v>121</v>
      </c>
      <c r="AF14" s="10" t="s">
        <v>2</v>
      </c>
      <c r="AH14" s="2" t="s">
        <v>125</v>
      </c>
      <c r="AI14" s="10" t="s">
        <v>2</v>
      </c>
    </row>
    <row r="15" spans="1:38" ht="15.75" customHeight="1" x14ac:dyDescent="0.25">
      <c r="A15" s="1" t="s">
        <v>21</v>
      </c>
      <c r="B15" s="9">
        <f>79.35+32+19.9</f>
        <v>131.25</v>
      </c>
      <c r="D15" s="1" t="s">
        <v>21</v>
      </c>
      <c r="E15" s="9">
        <f>12.5+1.4+24.75</f>
        <v>38.65</v>
      </c>
      <c r="G15" s="1" t="s">
        <v>21</v>
      </c>
      <c r="H15" s="9">
        <v>0</v>
      </c>
      <c r="J15" s="1" t="s">
        <v>21</v>
      </c>
      <c r="K15" s="9">
        <f>83.5+68+9.3</f>
        <v>160.80000000000001</v>
      </c>
      <c r="M15" s="1" t="s">
        <v>21</v>
      </c>
      <c r="N15" s="9"/>
      <c r="P15" s="1" t="s">
        <v>21</v>
      </c>
      <c r="Q15" s="9"/>
      <c r="S15" s="1" t="s">
        <v>21</v>
      </c>
      <c r="T15" s="9"/>
      <c r="V15" s="1" t="s">
        <v>21</v>
      </c>
      <c r="W15" s="9"/>
      <c r="Y15" s="1" t="s">
        <v>21</v>
      </c>
      <c r="Z15" s="9"/>
      <c r="AB15" s="1" t="s">
        <v>21</v>
      </c>
      <c r="AC15" s="9"/>
      <c r="AE15" s="1" t="s">
        <v>21</v>
      </c>
      <c r="AF15" s="9"/>
      <c r="AH15" s="1" t="s">
        <v>21</v>
      </c>
      <c r="AI15" s="9"/>
    </row>
    <row r="16" spans="1:38" ht="15.75" customHeight="1" x14ac:dyDescent="0.25">
      <c r="A16" s="1" t="s">
        <v>128</v>
      </c>
      <c r="B16" s="9">
        <f>111.6+19.1+4</f>
        <v>134.69999999999999</v>
      </c>
      <c r="D16" s="1" t="s">
        <v>12</v>
      </c>
      <c r="E16" s="9">
        <f>21.9</f>
        <v>21.9</v>
      </c>
      <c r="G16" s="1" t="s">
        <v>12</v>
      </c>
      <c r="H16" s="9">
        <f>50+40</f>
        <v>90</v>
      </c>
      <c r="J16" s="1" t="s">
        <v>12</v>
      </c>
      <c r="K16" s="9">
        <f>19.9+6.3+4</f>
        <v>30.2</v>
      </c>
      <c r="M16" s="1" t="s">
        <v>12</v>
      </c>
      <c r="N16" s="9"/>
      <c r="P16" s="1" t="s">
        <v>12</v>
      </c>
      <c r="Q16" s="9"/>
      <c r="S16" s="1" t="s">
        <v>12</v>
      </c>
      <c r="T16" s="9"/>
      <c r="V16" s="1" t="s">
        <v>12</v>
      </c>
      <c r="W16" s="9"/>
      <c r="Y16" s="1" t="s">
        <v>12</v>
      </c>
      <c r="Z16" s="9"/>
      <c r="AB16" s="1" t="s">
        <v>12</v>
      </c>
      <c r="AC16" s="9"/>
      <c r="AE16" s="1" t="s">
        <v>12</v>
      </c>
      <c r="AF16" s="9"/>
      <c r="AH16" s="1" t="s">
        <v>12</v>
      </c>
      <c r="AI16" s="9"/>
      <c r="AL16" t="s">
        <v>8</v>
      </c>
    </row>
    <row r="17" spans="1:39" ht="15.75" customHeight="1" x14ac:dyDescent="0.25">
      <c r="A17" s="1" t="s">
        <v>24</v>
      </c>
      <c r="B17" s="21">
        <f>B16+B15</f>
        <v>265.95</v>
      </c>
      <c r="D17" s="1" t="s">
        <v>24</v>
      </c>
      <c r="E17" s="19">
        <f>E16+E15</f>
        <v>60.55</v>
      </c>
      <c r="G17" s="1" t="s">
        <v>24</v>
      </c>
      <c r="H17" s="19">
        <f>H16+H15</f>
        <v>90</v>
      </c>
      <c r="J17" s="1" t="s">
        <v>24</v>
      </c>
      <c r="K17" s="16">
        <f>K16+K15</f>
        <v>191</v>
      </c>
      <c r="M17" s="1" t="s">
        <v>24</v>
      </c>
      <c r="N17" s="9"/>
      <c r="P17" s="1" t="s">
        <v>24</v>
      </c>
      <c r="Q17" s="9"/>
      <c r="S17" s="1" t="s">
        <v>24</v>
      </c>
      <c r="T17" s="9"/>
      <c r="V17" s="1" t="s">
        <v>24</v>
      </c>
      <c r="W17" s="9"/>
      <c r="Y17" s="1" t="s">
        <v>24</v>
      </c>
      <c r="Z17" s="9"/>
      <c r="AB17" s="1" t="s">
        <v>24</v>
      </c>
      <c r="AC17" s="9"/>
      <c r="AE17" s="1" t="s">
        <v>24</v>
      </c>
      <c r="AF17" s="9"/>
      <c r="AH17" s="1" t="s">
        <v>24</v>
      </c>
      <c r="AI17" s="9"/>
      <c r="AL17" t="s">
        <v>134</v>
      </c>
    </row>
    <row r="18" spans="1:39" ht="15.75" customHeight="1" x14ac:dyDescent="0.25">
      <c r="A18" s="1"/>
      <c r="B18" s="9"/>
      <c r="D18" s="1"/>
      <c r="E18" s="9"/>
      <c r="G18" s="1"/>
      <c r="H18" s="9"/>
      <c r="J18" s="1"/>
      <c r="K18" s="9"/>
      <c r="M18" s="1"/>
      <c r="N18" s="9"/>
      <c r="P18" s="1"/>
      <c r="Q18" s="9"/>
      <c r="S18" s="1"/>
      <c r="T18" s="9"/>
      <c r="V18" s="1"/>
      <c r="W18" s="9"/>
      <c r="Y18" s="1"/>
      <c r="Z18" s="9"/>
      <c r="AB18" s="1"/>
      <c r="AC18" s="9"/>
      <c r="AE18" s="1"/>
      <c r="AF18" s="9"/>
      <c r="AH18" s="1"/>
      <c r="AI18" s="9"/>
      <c r="AL18" t="s">
        <v>136</v>
      </c>
      <c r="AM18">
        <v>-1800</v>
      </c>
    </row>
    <row r="19" spans="1:39" ht="15.75" customHeight="1" x14ac:dyDescent="0.25">
      <c r="A19" s="2" t="s">
        <v>55</v>
      </c>
      <c r="B19" s="10" t="s">
        <v>2</v>
      </c>
      <c r="D19" s="2" t="s">
        <v>83</v>
      </c>
      <c r="E19" s="10" t="s">
        <v>2</v>
      </c>
      <c r="F19" s="9"/>
      <c r="G19" s="2" t="s">
        <v>87</v>
      </c>
      <c r="H19" s="10" t="s">
        <v>2</v>
      </c>
      <c r="J19" s="2" t="s">
        <v>91</v>
      </c>
      <c r="K19" s="10" t="s">
        <v>2</v>
      </c>
      <c r="L19" s="9"/>
      <c r="M19" s="2" t="s">
        <v>96</v>
      </c>
      <c r="N19" s="10" t="s">
        <v>2</v>
      </c>
      <c r="P19" s="2" t="s">
        <v>100</v>
      </c>
      <c r="Q19" s="10" t="s">
        <v>2</v>
      </c>
      <c r="R19" s="9"/>
      <c r="S19" s="2" t="s">
        <v>104</v>
      </c>
      <c r="T19" s="10" t="s">
        <v>2</v>
      </c>
      <c r="V19" s="2" t="s">
        <v>109</v>
      </c>
      <c r="W19" s="10" t="s">
        <v>2</v>
      </c>
      <c r="X19" s="9"/>
      <c r="Y19" s="2" t="s">
        <v>113</v>
      </c>
      <c r="Z19" s="10" t="s">
        <v>2</v>
      </c>
      <c r="AB19" s="2" t="s">
        <v>117</v>
      </c>
      <c r="AC19" s="10" t="s">
        <v>2</v>
      </c>
      <c r="AD19" s="9"/>
      <c r="AE19" s="2" t="s">
        <v>122</v>
      </c>
      <c r="AF19" s="10" t="s">
        <v>2</v>
      </c>
      <c r="AH19" s="2" t="s">
        <v>126</v>
      </c>
      <c r="AI19" s="10" t="s">
        <v>2</v>
      </c>
      <c r="AL19" t="s">
        <v>135</v>
      </c>
      <c r="AM19">
        <v>-2087</v>
      </c>
    </row>
    <row r="20" spans="1:39" ht="15.75" customHeight="1" x14ac:dyDescent="0.25">
      <c r="A20" s="1" t="s">
        <v>21</v>
      </c>
      <c r="B20" s="9">
        <f>114.7+91.3+12.6</f>
        <v>218.6</v>
      </c>
      <c r="D20" s="1" t="s">
        <v>21</v>
      </c>
      <c r="E20" s="9">
        <f>118.52+6</f>
        <v>124.52</v>
      </c>
      <c r="G20" s="1" t="s">
        <v>21</v>
      </c>
      <c r="H20" s="9">
        <v>0</v>
      </c>
      <c r="J20" s="1" t="s">
        <v>21</v>
      </c>
      <c r="K20" s="9"/>
      <c r="M20" s="1" t="s">
        <v>21</v>
      </c>
      <c r="N20" s="9"/>
      <c r="P20" s="1" t="s">
        <v>21</v>
      </c>
      <c r="Q20" s="9"/>
      <c r="S20" s="1" t="s">
        <v>21</v>
      </c>
      <c r="T20" s="9"/>
      <c r="V20" s="1" t="s">
        <v>21</v>
      </c>
      <c r="W20" s="9"/>
      <c r="Y20" s="1" t="s">
        <v>21</v>
      </c>
      <c r="Z20" s="9"/>
      <c r="AB20" s="1" t="s">
        <v>21</v>
      </c>
      <c r="AC20" s="9"/>
      <c r="AE20" s="1" t="s">
        <v>21</v>
      </c>
      <c r="AF20" s="9"/>
      <c r="AH20" s="1" t="s">
        <v>21</v>
      </c>
      <c r="AI20" s="9"/>
      <c r="AL20" t="s">
        <v>138</v>
      </c>
      <c r="AM20">
        <v>-980</v>
      </c>
    </row>
    <row r="21" spans="1:39" ht="15.75" customHeight="1" x14ac:dyDescent="0.25">
      <c r="A21" s="1" t="s">
        <v>12</v>
      </c>
      <c r="B21" s="9">
        <f>24.9+14.8+9.8+6.9+4</f>
        <v>60.4</v>
      </c>
      <c r="D21" s="1" t="s">
        <v>12</v>
      </c>
      <c r="E21" s="9">
        <f>29.09+4</f>
        <v>33.090000000000003</v>
      </c>
      <c r="G21" s="1" t="s">
        <v>12</v>
      </c>
      <c r="H21" s="9">
        <v>0</v>
      </c>
      <c r="J21" s="1" t="s">
        <v>12</v>
      </c>
      <c r="K21" s="9"/>
      <c r="M21" s="1" t="s">
        <v>12</v>
      </c>
      <c r="N21" s="9"/>
      <c r="P21" s="1" t="s">
        <v>12</v>
      </c>
      <c r="Q21" s="9"/>
      <c r="S21" s="1" t="s">
        <v>12</v>
      </c>
      <c r="T21" s="9"/>
      <c r="V21" s="1" t="s">
        <v>12</v>
      </c>
      <c r="W21" s="9"/>
      <c r="Y21" s="1" t="s">
        <v>12</v>
      </c>
      <c r="Z21" s="9"/>
      <c r="AB21" s="1" t="s">
        <v>12</v>
      </c>
      <c r="AC21" s="9"/>
      <c r="AE21" s="1" t="s">
        <v>12</v>
      </c>
      <c r="AF21" s="9"/>
      <c r="AH21" s="1" t="s">
        <v>12</v>
      </c>
      <c r="AI21" s="9"/>
    </row>
    <row r="22" spans="1:39" ht="12.5" x14ac:dyDescent="0.25">
      <c r="A22" s="1" t="s">
        <v>24</v>
      </c>
      <c r="B22" s="21">
        <f>B21+B20</f>
        <v>279</v>
      </c>
      <c r="D22" s="1" t="s">
        <v>24</v>
      </c>
      <c r="E22" s="19">
        <f>E21+E20</f>
        <v>157.61000000000001</v>
      </c>
      <c r="G22" s="1" t="s">
        <v>24</v>
      </c>
      <c r="H22" s="19">
        <f>H21+H20</f>
        <v>0</v>
      </c>
      <c r="J22" s="1" t="s">
        <v>24</v>
      </c>
      <c r="K22" s="9">
        <f>K21+K20</f>
        <v>0</v>
      </c>
      <c r="M22" s="1" t="s">
        <v>24</v>
      </c>
      <c r="N22" s="9"/>
      <c r="P22" s="1" t="s">
        <v>24</v>
      </c>
      <c r="Q22" s="9"/>
      <c r="S22" s="1" t="s">
        <v>24</v>
      </c>
      <c r="T22" s="9"/>
      <c r="V22" s="1" t="s">
        <v>24</v>
      </c>
      <c r="W22" s="9"/>
      <c r="Y22" s="1" t="s">
        <v>24</v>
      </c>
      <c r="Z22" s="9"/>
      <c r="AB22" s="1" t="s">
        <v>24</v>
      </c>
      <c r="AC22" s="9"/>
      <c r="AE22" s="1" t="s">
        <v>24</v>
      </c>
      <c r="AF22" s="9"/>
      <c r="AH22" s="1" t="s">
        <v>24</v>
      </c>
      <c r="AI22" s="9"/>
    </row>
    <row r="23" spans="1:39" ht="12.5" x14ac:dyDescent="0.25">
      <c r="A23" s="11"/>
      <c r="B23" s="17"/>
      <c r="D23" s="11"/>
      <c r="E23" s="17"/>
      <c r="G23" s="11"/>
      <c r="H23" s="17"/>
      <c r="J23" s="11"/>
      <c r="K23" s="17"/>
      <c r="M23" s="11"/>
      <c r="N23" s="17"/>
      <c r="P23" s="11"/>
      <c r="Q23" s="17"/>
      <c r="S23" s="11"/>
      <c r="T23" s="17"/>
      <c r="V23" s="11"/>
      <c r="W23" s="17"/>
      <c r="Y23" s="11"/>
      <c r="Z23" s="17"/>
      <c r="AB23" s="11"/>
      <c r="AC23" s="17"/>
      <c r="AE23" s="11"/>
      <c r="AF23" s="17"/>
      <c r="AH23" s="11"/>
      <c r="AI23" s="17"/>
    </row>
    <row r="24" spans="1:39" ht="12.5" x14ac:dyDescent="0.25">
      <c r="A24" s="2" t="s">
        <v>56</v>
      </c>
      <c r="B24" s="10" t="s">
        <v>2</v>
      </c>
      <c r="D24" s="11"/>
      <c r="E24" s="17"/>
      <c r="G24" s="11"/>
      <c r="H24" s="17"/>
      <c r="J24" s="2" t="s">
        <v>92</v>
      </c>
      <c r="K24" s="10" t="s">
        <v>2</v>
      </c>
      <c r="M24" s="11"/>
      <c r="N24" s="17"/>
      <c r="P24" s="11"/>
      <c r="Q24" s="17"/>
      <c r="S24" s="2" t="s">
        <v>105</v>
      </c>
      <c r="T24" s="10" t="s">
        <v>2</v>
      </c>
      <c r="V24" s="11"/>
      <c r="W24" s="17"/>
      <c r="Y24" s="11"/>
      <c r="Z24" s="17"/>
      <c r="AB24" s="2" t="s">
        <v>118</v>
      </c>
      <c r="AC24" s="10" t="s">
        <v>2</v>
      </c>
      <c r="AE24" s="11"/>
      <c r="AF24" s="17"/>
      <c r="AH24" s="2" t="s">
        <v>127</v>
      </c>
      <c r="AI24" s="10" t="s">
        <v>2</v>
      </c>
    </row>
    <row r="25" spans="1:39" ht="12.5" x14ac:dyDescent="0.25">
      <c r="A25" s="1" t="s">
        <v>21</v>
      </c>
      <c r="B25" s="9">
        <f>65.4+62.3+4.8</f>
        <v>132.5</v>
      </c>
      <c r="D25" s="11"/>
      <c r="E25" s="17"/>
      <c r="G25" s="11"/>
      <c r="H25" s="17"/>
      <c r="J25" s="1" t="s">
        <v>21</v>
      </c>
      <c r="K25" s="9"/>
      <c r="M25" s="11"/>
      <c r="N25" s="17"/>
      <c r="P25" s="11"/>
      <c r="Q25" s="17"/>
      <c r="S25" s="1" t="s">
        <v>21</v>
      </c>
      <c r="T25" s="9"/>
      <c r="V25" s="11"/>
      <c r="W25" s="17"/>
      <c r="Y25" s="11"/>
      <c r="Z25" s="17"/>
      <c r="AB25" s="1" t="s">
        <v>21</v>
      </c>
      <c r="AC25" s="9"/>
      <c r="AE25" s="11"/>
      <c r="AF25" s="17"/>
      <c r="AH25" s="1" t="s">
        <v>21</v>
      </c>
      <c r="AI25" s="9"/>
    </row>
    <row r="26" spans="1:39" ht="12.5" x14ac:dyDescent="0.25">
      <c r="A26" s="1" t="s">
        <v>12</v>
      </c>
      <c r="B26" s="9">
        <f>73.17+46.35+29.41+27.9+5.4</f>
        <v>182.23000000000002</v>
      </c>
      <c r="D26" s="11"/>
      <c r="E26" s="17"/>
      <c r="G26" s="11"/>
      <c r="H26" s="17"/>
      <c r="J26" s="1" t="s">
        <v>12</v>
      </c>
      <c r="K26" s="9"/>
      <c r="M26" s="11"/>
      <c r="N26" s="17"/>
      <c r="P26" s="11"/>
      <c r="Q26" s="17"/>
      <c r="S26" s="1" t="s">
        <v>12</v>
      </c>
      <c r="T26" s="9"/>
      <c r="V26" s="11"/>
      <c r="W26" s="17"/>
      <c r="Y26" s="11"/>
      <c r="Z26" s="17"/>
      <c r="AB26" s="1" t="s">
        <v>12</v>
      </c>
      <c r="AC26" s="9"/>
      <c r="AE26" s="11"/>
      <c r="AF26" s="17"/>
      <c r="AH26" s="1" t="s">
        <v>12</v>
      </c>
      <c r="AI26" s="9"/>
    </row>
    <row r="27" spans="1:39" ht="12.5" x14ac:dyDescent="0.25">
      <c r="A27" s="1" t="s">
        <v>24</v>
      </c>
      <c r="B27" s="21">
        <f>B26+B25</f>
        <v>314.73</v>
      </c>
      <c r="D27" s="11"/>
      <c r="E27" s="17"/>
      <c r="G27" s="11"/>
      <c r="H27" s="17"/>
      <c r="J27" s="1" t="s">
        <v>24</v>
      </c>
      <c r="K27" s="9">
        <f>K26+K25</f>
        <v>0</v>
      </c>
      <c r="M27" s="11"/>
      <c r="N27" s="17"/>
      <c r="P27" s="11"/>
      <c r="Q27" s="17"/>
      <c r="S27" s="1" t="s">
        <v>24</v>
      </c>
      <c r="T27" s="9"/>
      <c r="V27" s="11"/>
      <c r="W27" s="17"/>
      <c r="Y27" s="11"/>
      <c r="Z27" s="17"/>
      <c r="AB27" s="1" t="s">
        <v>24</v>
      </c>
      <c r="AC27" s="9"/>
      <c r="AE27" s="11"/>
      <c r="AF27" s="17"/>
      <c r="AH27" s="1" t="s">
        <v>24</v>
      </c>
      <c r="AI27" s="9"/>
    </row>
    <row r="28" spans="1:39" ht="12.5" x14ac:dyDescent="0.25">
      <c r="A28" s="1"/>
      <c r="B28" s="9"/>
      <c r="D28" s="11"/>
      <c r="E28" s="17"/>
      <c r="G28" s="1"/>
      <c r="H28" s="9"/>
      <c r="J28" s="1"/>
      <c r="K28" s="9"/>
      <c r="M28" s="11"/>
      <c r="N28" s="17"/>
      <c r="P28" s="11"/>
      <c r="Q28" s="17"/>
      <c r="S28" s="1"/>
      <c r="T28" s="9"/>
      <c r="V28" s="11"/>
      <c r="W28" s="17"/>
      <c r="Y28" s="11"/>
      <c r="Z28" s="17"/>
      <c r="AB28" s="1"/>
      <c r="AC28" s="9"/>
      <c r="AE28" s="11"/>
      <c r="AF28" s="17"/>
      <c r="AH28" s="1"/>
      <c r="AI28" s="9"/>
    </row>
    <row r="29" spans="1:39" ht="12.5" x14ac:dyDescent="0.25">
      <c r="B29" s="9"/>
      <c r="E29" s="9"/>
      <c r="H29" s="9"/>
      <c r="K29" s="9"/>
      <c r="N29" s="9"/>
      <c r="Q29" s="9"/>
      <c r="T29" s="9"/>
      <c r="V29" s="13"/>
      <c r="W29" s="17"/>
      <c r="Z29" s="9"/>
      <c r="AC29" s="9"/>
      <c r="AF29" s="9"/>
      <c r="AI29" s="9"/>
    </row>
    <row r="30" spans="1:39" ht="12.5" x14ac:dyDescent="0.25">
      <c r="B30" s="9"/>
      <c r="E30" s="9"/>
      <c r="H30" s="9"/>
      <c r="K30" s="9"/>
      <c r="N30" s="9"/>
      <c r="Q30" s="9"/>
      <c r="T30" s="9"/>
      <c r="W30" s="9"/>
      <c r="Z30" s="9"/>
      <c r="AC30" s="9"/>
      <c r="AF30" s="9"/>
      <c r="AI30" s="9"/>
    </row>
    <row r="31" spans="1:39" ht="12.5" x14ac:dyDescent="0.25">
      <c r="B31" s="9"/>
      <c r="E31" s="9"/>
      <c r="H31" s="9"/>
      <c r="K31" s="9"/>
      <c r="N31" s="9"/>
      <c r="Q31" s="9"/>
      <c r="T31" s="9"/>
      <c r="W31" s="9"/>
      <c r="Z31" s="9"/>
      <c r="AC31" s="9"/>
      <c r="AF31" s="9"/>
      <c r="AI31" s="9"/>
    </row>
    <row r="32" spans="1:39" ht="12.5" x14ac:dyDescent="0.25">
      <c r="A32" s="2" t="s">
        <v>20</v>
      </c>
      <c r="B32" s="2" t="s">
        <v>2</v>
      </c>
      <c r="D32" s="2" t="s">
        <v>20</v>
      </c>
      <c r="E32" s="2" t="s">
        <v>2</v>
      </c>
      <c r="G32" s="2" t="s">
        <v>20</v>
      </c>
      <c r="H32" s="2" t="s">
        <v>2</v>
      </c>
      <c r="J32" s="2" t="s">
        <v>20</v>
      </c>
      <c r="K32" s="2" t="s">
        <v>2</v>
      </c>
      <c r="M32" s="2" t="s">
        <v>20</v>
      </c>
      <c r="N32" s="2" t="s">
        <v>2</v>
      </c>
      <c r="P32" s="2" t="s">
        <v>20</v>
      </c>
      <c r="Q32" s="2" t="s">
        <v>2</v>
      </c>
      <c r="S32" s="2" t="s">
        <v>20</v>
      </c>
      <c r="T32" s="2" t="s">
        <v>2</v>
      </c>
      <c r="V32" s="2" t="s">
        <v>20</v>
      </c>
      <c r="W32" s="2" t="s">
        <v>2</v>
      </c>
      <c r="Y32" s="2" t="s">
        <v>20</v>
      </c>
      <c r="Z32" s="2" t="s">
        <v>2</v>
      </c>
      <c r="AB32" s="2" t="s">
        <v>20</v>
      </c>
      <c r="AC32" s="2" t="s">
        <v>2</v>
      </c>
      <c r="AE32" s="2" t="s">
        <v>20</v>
      </c>
      <c r="AF32" s="2" t="s">
        <v>2</v>
      </c>
      <c r="AH32" s="2" t="s">
        <v>20</v>
      </c>
      <c r="AI32" s="2" t="s">
        <v>2</v>
      </c>
    </row>
    <row r="33" spans="1:35" ht="12.5" x14ac:dyDescent="0.25">
      <c r="A33" s="1" t="s">
        <v>22</v>
      </c>
      <c r="B33" s="1">
        <v>1000</v>
      </c>
      <c r="D33" s="1" t="s">
        <v>22</v>
      </c>
      <c r="E33" s="1">
        <v>1000</v>
      </c>
      <c r="G33" s="1" t="s">
        <v>22</v>
      </c>
      <c r="H33" s="1">
        <v>1000</v>
      </c>
      <c r="J33" s="1" t="s">
        <v>22</v>
      </c>
      <c r="K33" s="44">
        <v>1000</v>
      </c>
      <c r="M33" s="1" t="s">
        <v>22</v>
      </c>
      <c r="N33" s="1">
        <v>1000</v>
      </c>
      <c r="P33" s="1" t="s">
        <v>22</v>
      </c>
      <c r="Q33" s="1">
        <v>1000</v>
      </c>
      <c r="S33" s="1" t="s">
        <v>22</v>
      </c>
      <c r="T33" s="1">
        <v>1000</v>
      </c>
      <c r="V33" s="1" t="s">
        <v>22</v>
      </c>
      <c r="W33" s="1">
        <v>1000</v>
      </c>
      <c r="Y33" s="1" t="s">
        <v>22</v>
      </c>
      <c r="Z33" s="1">
        <v>1000</v>
      </c>
      <c r="AB33" s="1" t="s">
        <v>22</v>
      </c>
      <c r="AC33" s="1">
        <v>1000</v>
      </c>
      <c r="AE33" s="1" t="s">
        <v>22</v>
      </c>
      <c r="AF33" s="1">
        <v>1000</v>
      </c>
      <c r="AH33" s="1" t="s">
        <v>22</v>
      </c>
      <c r="AI33" s="1">
        <v>1000</v>
      </c>
    </row>
    <row r="34" spans="1:35" ht="12.5" x14ac:dyDescent="0.25">
      <c r="A34" s="1" t="s">
        <v>23</v>
      </c>
      <c r="B34" s="1">
        <v>530</v>
      </c>
      <c r="D34" s="1" t="s">
        <v>23</v>
      </c>
      <c r="E34" s="1">
        <v>530</v>
      </c>
      <c r="G34" s="1" t="s">
        <v>23</v>
      </c>
      <c r="H34" s="1">
        <v>530</v>
      </c>
      <c r="J34" s="1" t="s">
        <v>23</v>
      </c>
      <c r="K34" s="44">
        <v>530</v>
      </c>
      <c r="M34" s="1" t="s">
        <v>23</v>
      </c>
      <c r="N34" s="1"/>
      <c r="P34" s="1" t="s">
        <v>23</v>
      </c>
      <c r="Q34" s="1"/>
      <c r="S34" s="1" t="s">
        <v>23</v>
      </c>
      <c r="T34" s="1"/>
      <c r="V34" s="1" t="s">
        <v>23</v>
      </c>
      <c r="W34" s="1"/>
      <c r="Y34" s="1" t="s">
        <v>23</v>
      </c>
      <c r="Z34" s="1"/>
      <c r="AB34" s="1" t="s">
        <v>23</v>
      </c>
      <c r="AC34" s="1"/>
      <c r="AE34" s="1" t="s">
        <v>23</v>
      </c>
      <c r="AF34" s="1"/>
      <c r="AH34" s="1" t="s">
        <v>23</v>
      </c>
      <c r="AI34" s="1"/>
    </row>
    <row r="35" spans="1:35" ht="12.5" x14ac:dyDescent="0.25">
      <c r="A35" s="1" t="s">
        <v>25</v>
      </c>
      <c r="B35">
        <f>B27+B22+B17+B12+B7</f>
        <v>1124.23</v>
      </c>
      <c r="D35" s="1" t="s">
        <v>25</v>
      </c>
      <c r="E35">
        <f>E22+E17+E12+E7</f>
        <v>496</v>
      </c>
      <c r="G35" s="1" t="s">
        <v>25</v>
      </c>
      <c r="H35">
        <f>H22+H17+H12+H7</f>
        <v>316.68</v>
      </c>
      <c r="J35" s="1" t="s">
        <v>25</v>
      </c>
      <c r="K35" s="36">
        <f>K27+K22+K17+K12+K7</f>
        <v>512.73</v>
      </c>
      <c r="M35" s="1" t="s">
        <v>25</v>
      </c>
      <c r="P35" s="1" t="s">
        <v>25</v>
      </c>
      <c r="S35" s="1" t="s">
        <v>25</v>
      </c>
      <c r="V35" s="1" t="s">
        <v>25</v>
      </c>
      <c r="Y35" s="1" t="s">
        <v>25</v>
      </c>
      <c r="AB35" s="1" t="s">
        <v>25</v>
      </c>
      <c r="AE35" s="1" t="s">
        <v>25</v>
      </c>
      <c r="AH35" s="1" t="s">
        <v>25</v>
      </c>
    </row>
    <row r="36" spans="1:35" ht="12.5" x14ac:dyDescent="0.25">
      <c r="J36" t="s">
        <v>137</v>
      </c>
      <c r="K36" s="36">
        <v>620</v>
      </c>
    </row>
    <row r="37" spans="1:35" ht="12.5" x14ac:dyDescent="0.25">
      <c r="A37" s="1" t="s">
        <v>26</v>
      </c>
      <c r="B37">
        <f>B33+B34-B35</f>
        <v>405.77</v>
      </c>
      <c r="D37" s="1" t="s">
        <v>26</v>
      </c>
      <c r="E37">
        <f>E33+E34-E35</f>
        <v>1034</v>
      </c>
      <c r="G37" s="1" t="s">
        <v>26</v>
      </c>
      <c r="H37" s="40">
        <f>H33+H34-H35</f>
        <v>1213.32</v>
      </c>
      <c r="J37" s="1"/>
      <c r="M37" s="1" t="s">
        <v>26</v>
      </c>
      <c r="P37" s="1" t="s">
        <v>26</v>
      </c>
      <c r="S37" s="1" t="s">
        <v>26</v>
      </c>
      <c r="V37" s="1" t="s">
        <v>26</v>
      </c>
      <c r="Y37" s="1" t="s">
        <v>26</v>
      </c>
      <c r="AB37" s="1" t="s">
        <v>26</v>
      </c>
      <c r="AE37" s="1" t="s">
        <v>26</v>
      </c>
      <c r="AH37" s="1" t="s">
        <v>26</v>
      </c>
    </row>
    <row r="38" spans="1:35" ht="12.5" x14ac:dyDescent="0.25">
      <c r="A38" t="s">
        <v>8</v>
      </c>
      <c r="B38" s="39">
        <f>B37-B39</f>
        <v>365.19299999999998</v>
      </c>
      <c r="C38" s="41" t="s">
        <v>130</v>
      </c>
      <c r="D38" t="s">
        <v>8</v>
      </c>
      <c r="E38" s="36">
        <f>0.8*E37</f>
        <v>827.2</v>
      </c>
      <c r="F38" t="s">
        <v>130</v>
      </c>
      <c r="G38" t="s">
        <v>8</v>
      </c>
      <c r="H38" s="40">
        <f>0.8*H37</f>
        <v>970.65599999999995</v>
      </c>
      <c r="I38" t="s">
        <v>130</v>
      </c>
      <c r="J38" s="1" t="s">
        <v>26</v>
      </c>
      <c r="K38" s="36">
        <f>K33+K34+K36-K35</f>
        <v>1637.27</v>
      </c>
      <c r="M38" t="s">
        <v>8</v>
      </c>
      <c r="P38" t="s">
        <v>8</v>
      </c>
      <c r="S38" t="s">
        <v>8</v>
      </c>
      <c r="V38" t="s">
        <v>8</v>
      </c>
      <c r="Y38" t="s">
        <v>8</v>
      </c>
      <c r="AB38" t="s">
        <v>8</v>
      </c>
      <c r="AE38" t="s">
        <v>8</v>
      </c>
      <c r="AH38" t="s">
        <v>8</v>
      </c>
    </row>
    <row r="39" spans="1:35" ht="12.5" x14ac:dyDescent="0.25">
      <c r="A39" s="1" t="s">
        <v>129</v>
      </c>
      <c r="B39" s="36">
        <f>0.1*B37</f>
        <v>40.576999999999998</v>
      </c>
      <c r="C39" t="s">
        <v>130</v>
      </c>
      <c r="D39" s="1" t="s">
        <v>129</v>
      </c>
      <c r="E39" s="36">
        <f>(E37-E38)/2 + 3.4</f>
        <v>106.79999999999998</v>
      </c>
      <c r="F39" t="s">
        <v>130</v>
      </c>
      <c r="G39" s="1" t="s">
        <v>131</v>
      </c>
      <c r="H39" s="40">
        <f>H37-H38-H40</f>
        <v>142.66399999999999</v>
      </c>
      <c r="I39" t="s">
        <v>130</v>
      </c>
      <c r="J39" t="s">
        <v>8</v>
      </c>
      <c r="K39" s="36">
        <f>0.8*K38</f>
        <v>1309.816</v>
      </c>
      <c r="M39" s="1" t="s">
        <v>132</v>
      </c>
      <c r="P39" s="1" t="s">
        <v>132</v>
      </c>
      <c r="S39" s="1" t="s">
        <v>132</v>
      </c>
      <c r="V39" s="1" t="s">
        <v>132</v>
      </c>
      <c r="Y39" s="1" t="s">
        <v>132</v>
      </c>
      <c r="AB39" s="1" t="s">
        <v>132</v>
      </c>
      <c r="AE39" s="1" t="s">
        <v>132</v>
      </c>
      <c r="AH39" s="1" t="s">
        <v>132</v>
      </c>
    </row>
    <row r="40" spans="1:35" ht="12.5" x14ac:dyDescent="0.25">
      <c r="B40" s="9"/>
      <c r="D40" t="s">
        <v>14</v>
      </c>
      <c r="E40" s="36">
        <f>E39 -6.8</f>
        <v>99.999999999999986</v>
      </c>
      <c r="F40" t="s">
        <v>130</v>
      </c>
      <c r="G40" t="s">
        <v>14</v>
      </c>
      <c r="H40" s="42">
        <f>100</f>
        <v>100</v>
      </c>
      <c r="I40" t="s">
        <v>130</v>
      </c>
      <c r="J40" s="1" t="s">
        <v>132</v>
      </c>
      <c r="K40" s="36">
        <f>K38-K39-K41</f>
        <v>227.45399999999995</v>
      </c>
      <c r="M40" t="s">
        <v>14</v>
      </c>
      <c r="N40">
        <v>100</v>
      </c>
      <c r="P40" t="s">
        <v>14</v>
      </c>
      <c r="S40" t="s">
        <v>14</v>
      </c>
      <c r="V40" t="s">
        <v>14</v>
      </c>
      <c r="Y40" t="s">
        <v>14</v>
      </c>
      <c r="AB40" t="s">
        <v>14</v>
      </c>
      <c r="AE40" t="s">
        <v>14</v>
      </c>
      <c r="AH40" t="s">
        <v>14</v>
      </c>
    </row>
    <row r="41" spans="1:35" ht="12.5" x14ac:dyDescent="0.25">
      <c r="B41" s="9"/>
      <c r="E41" s="36"/>
      <c r="H41" s="40"/>
      <c r="J41" t="s">
        <v>14</v>
      </c>
      <c r="K41" s="36">
        <v>100</v>
      </c>
    </row>
    <row r="42" spans="1:35" ht="12.5" x14ac:dyDescent="0.25">
      <c r="B42" s="9"/>
    </row>
    <row r="43" spans="1:35" ht="12.5" x14ac:dyDescent="0.25">
      <c r="B43" s="9"/>
    </row>
    <row r="44" spans="1:35" ht="12.5" x14ac:dyDescent="0.25">
      <c r="B44" s="9"/>
    </row>
    <row r="45" spans="1:35" ht="12.5" x14ac:dyDescent="0.25">
      <c r="B45" s="9"/>
    </row>
    <row r="46" spans="1:35" ht="12.5" x14ac:dyDescent="0.25">
      <c r="B46" s="9"/>
    </row>
    <row r="47" spans="1:35" ht="12.5" x14ac:dyDescent="0.25">
      <c r="B47" s="9"/>
    </row>
    <row r="48" spans="1:35" ht="12.5" x14ac:dyDescent="0.25">
      <c r="B48" s="9"/>
    </row>
    <row r="49" spans="2:2" ht="12.5" x14ac:dyDescent="0.25">
      <c r="B49" s="9"/>
    </row>
    <row r="50" spans="2:2" ht="12.5" x14ac:dyDescent="0.25">
      <c r="B50" s="9"/>
    </row>
    <row r="51" spans="2:2" ht="12.5" x14ac:dyDescent="0.25">
      <c r="B51" s="9"/>
    </row>
    <row r="52" spans="2:2" ht="12.5" x14ac:dyDescent="0.25">
      <c r="B52" s="9"/>
    </row>
    <row r="53" spans="2:2" ht="12.5" x14ac:dyDescent="0.25">
      <c r="B53" s="9"/>
    </row>
    <row r="54" spans="2:2" ht="12.5" x14ac:dyDescent="0.25">
      <c r="B54" s="9"/>
    </row>
    <row r="55" spans="2:2" ht="12.5" x14ac:dyDescent="0.25">
      <c r="B55" s="9"/>
    </row>
    <row r="56" spans="2:2" ht="12.5" x14ac:dyDescent="0.25">
      <c r="B56" s="9"/>
    </row>
    <row r="57" spans="2:2" ht="12.5" x14ac:dyDescent="0.25">
      <c r="B57" s="9"/>
    </row>
    <row r="58" spans="2:2" ht="12.5" x14ac:dyDescent="0.25">
      <c r="B58" s="9"/>
    </row>
    <row r="59" spans="2:2" ht="12.5" x14ac:dyDescent="0.25">
      <c r="B59" s="9"/>
    </row>
    <row r="60" spans="2:2" ht="12.5" x14ac:dyDescent="0.25">
      <c r="B60" s="9"/>
    </row>
    <row r="61" spans="2:2" ht="12.5" x14ac:dyDescent="0.25">
      <c r="B61" s="9"/>
    </row>
    <row r="62" spans="2:2" ht="12.5" x14ac:dyDescent="0.25">
      <c r="B62" s="9"/>
    </row>
    <row r="63" spans="2:2" ht="12.5" x14ac:dyDescent="0.25">
      <c r="B63" s="9"/>
    </row>
    <row r="64" spans="2:2" ht="12.5" x14ac:dyDescent="0.25">
      <c r="B64" s="9"/>
    </row>
    <row r="65" spans="2:2" ht="12.5" x14ac:dyDescent="0.25">
      <c r="B65" s="9"/>
    </row>
    <row r="66" spans="2:2" ht="12.5" x14ac:dyDescent="0.25">
      <c r="B66" s="9"/>
    </row>
    <row r="67" spans="2:2" ht="12.5" x14ac:dyDescent="0.25">
      <c r="B67" s="9"/>
    </row>
    <row r="68" spans="2:2" ht="12.5" x14ac:dyDescent="0.25">
      <c r="B68" s="9"/>
    </row>
    <row r="69" spans="2:2" ht="12.5" x14ac:dyDescent="0.25">
      <c r="B69" s="9"/>
    </row>
    <row r="70" spans="2:2" ht="12.5" x14ac:dyDescent="0.25">
      <c r="B70" s="9"/>
    </row>
    <row r="71" spans="2:2" ht="12.5" x14ac:dyDescent="0.25">
      <c r="B71" s="9"/>
    </row>
    <row r="72" spans="2:2" ht="12.5" x14ac:dyDescent="0.25">
      <c r="B72" s="9"/>
    </row>
    <row r="73" spans="2:2" ht="12.5" x14ac:dyDescent="0.25">
      <c r="B73" s="9"/>
    </row>
    <row r="74" spans="2:2" ht="12.5" x14ac:dyDescent="0.25">
      <c r="B74" s="9"/>
    </row>
    <row r="75" spans="2:2" ht="12.5" x14ac:dyDescent="0.25">
      <c r="B75" s="9"/>
    </row>
    <row r="76" spans="2:2" ht="12.5" x14ac:dyDescent="0.25">
      <c r="B76" s="9"/>
    </row>
    <row r="77" spans="2:2" ht="12.5" x14ac:dyDescent="0.25">
      <c r="B77" s="9"/>
    </row>
    <row r="78" spans="2:2" ht="12.5" x14ac:dyDescent="0.25">
      <c r="B78" s="9"/>
    </row>
    <row r="79" spans="2:2" ht="12.5" x14ac:dyDescent="0.25">
      <c r="B79" s="9"/>
    </row>
    <row r="80" spans="2:2" ht="12.5" x14ac:dyDescent="0.25">
      <c r="B80" s="9"/>
    </row>
    <row r="81" spans="2:2" ht="12.5" x14ac:dyDescent="0.25">
      <c r="B81" s="9"/>
    </row>
    <row r="82" spans="2:2" ht="12.5" x14ac:dyDescent="0.25">
      <c r="B82" s="9"/>
    </row>
    <row r="83" spans="2:2" ht="12.5" x14ac:dyDescent="0.25">
      <c r="B83" s="9"/>
    </row>
    <row r="84" spans="2:2" ht="12.5" x14ac:dyDescent="0.25">
      <c r="B84" s="9"/>
    </row>
    <row r="85" spans="2:2" ht="12.5" x14ac:dyDescent="0.25">
      <c r="B85" s="9"/>
    </row>
    <row r="86" spans="2:2" ht="12.5" x14ac:dyDescent="0.25">
      <c r="B86" s="9"/>
    </row>
    <row r="87" spans="2:2" ht="12.5" x14ac:dyDescent="0.25">
      <c r="B87" s="9"/>
    </row>
    <row r="88" spans="2:2" ht="12.5" x14ac:dyDescent="0.25">
      <c r="B88" s="9"/>
    </row>
    <row r="89" spans="2:2" ht="12.5" x14ac:dyDescent="0.25">
      <c r="B89" s="9"/>
    </row>
    <row r="90" spans="2:2" ht="12.5" x14ac:dyDescent="0.25">
      <c r="B90" s="9"/>
    </row>
    <row r="91" spans="2:2" ht="12.5" x14ac:dyDescent="0.25">
      <c r="B91" s="9"/>
    </row>
    <row r="92" spans="2:2" ht="12.5" x14ac:dyDescent="0.25">
      <c r="B92" s="9"/>
    </row>
    <row r="93" spans="2:2" ht="12.5" x14ac:dyDescent="0.25">
      <c r="B93" s="9"/>
    </row>
    <row r="94" spans="2:2" ht="12.5" x14ac:dyDescent="0.25">
      <c r="B94" s="9"/>
    </row>
    <row r="95" spans="2:2" ht="12.5" x14ac:dyDescent="0.25">
      <c r="B95" s="9"/>
    </row>
    <row r="96" spans="2:2" ht="12.5" x14ac:dyDescent="0.25">
      <c r="B96" s="9"/>
    </row>
    <row r="97" spans="2:2" ht="12.5" x14ac:dyDescent="0.25">
      <c r="B97" s="9"/>
    </row>
    <row r="98" spans="2:2" ht="12.5" x14ac:dyDescent="0.25">
      <c r="B98" s="9"/>
    </row>
    <row r="99" spans="2:2" ht="12.5" x14ac:dyDescent="0.25">
      <c r="B99" s="9"/>
    </row>
    <row r="100" spans="2:2" ht="12.5" x14ac:dyDescent="0.25">
      <c r="B100" s="9"/>
    </row>
    <row r="101" spans="2:2" ht="12.5" x14ac:dyDescent="0.25">
      <c r="B101" s="9"/>
    </row>
    <row r="102" spans="2:2" ht="12.5" x14ac:dyDescent="0.25">
      <c r="B102" s="9"/>
    </row>
    <row r="103" spans="2:2" ht="12.5" x14ac:dyDescent="0.25">
      <c r="B103" s="9"/>
    </row>
    <row r="104" spans="2:2" ht="12.5" x14ac:dyDescent="0.25">
      <c r="B104" s="9"/>
    </row>
    <row r="105" spans="2:2" ht="12.5" x14ac:dyDescent="0.25">
      <c r="B105" s="9"/>
    </row>
    <row r="106" spans="2:2" ht="12.5" x14ac:dyDescent="0.25">
      <c r="B106" s="9"/>
    </row>
    <row r="107" spans="2:2" ht="12.5" x14ac:dyDescent="0.25">
      <c r="B107" s="9"/>
    </row>
    <row r="108" spans="2:2" ht="12.5" x14ac:dyDescent="0.25">
      <c r="B108" s="9"/>
    </row>
    <row r="109" spans="2:2" ht="12.5" x14ac:dyDescent="0.25">
      <c r="B109" s="9"/>
    </row>
    <row r="110" spans="2:2" ht="12.5" x14ac:dyDescent="0.25">
      <c r="B110" s="9"/>
    </row>
    <row r="111" spans="2:2" ht="12.5" x14ac:dyDescent="0.25">
      <c r="B111" s="9"/>
    </row>
    <row r="112" spans="2:2" ht="12.5" x14ac:dyDescent="0.25">
      <c r="B112" s="9"/>
    </row>
    <row r="113" spans="2:2" ht="12.5" x14ac:dyDescent="0.25">
      <c r="B113" s="9"/>
    </row>
    <row r="114" spans="2:2" ht="12.5" x14ac:dyDescent="0.25">
      <c r="B114" s="9"/>
    </row>
    <row r="115" spans="2:2" ht="12.5" x14ac:dyDescent="0.25">
      <c r="B115" s="9"/>
    </row>
    <row r="116" spans="2:2" ht="12.5" x14ac:dyDescent="0.25">
      <c r="B116" s="9"/>
    </row>
    <row r="117" spans="2:2" ht="12.5" x14ac:dyDescent="0.25">
      <c r="B117" s="9"/>
    </row>
    <row r="118" spans="2:2" ht="12.5" x14ac:dyDescent="0.25">
      <c r="B118" s="9"/>
    </row>
    <row r="119" spans="2:2" ht="12.5" x14ac:dyDescent="0.25">
      <c r="B119" s="9"/>
    </row>
    <row r="120" spans="2:2" ht="12.5" x14ac:dyDescent="0.25">
      <c r="B120" s="9"/>
    </row>
    <row r="121" spans="2:2" ht="12.5" x14ac:dyDescent="0.25">
      <c r="B121" s="9"/>
    </row>
    <row r="122" spans="2:2" ht="12.5" x14ac:dyDescent="0.25">
      <c r="B122" s="9"/>
    </row>
    <row r="123" spans="2:2" ht="12.5" x14ac:dyDescent="0.25">
      <c r="B123" s="9"/>
    </row>
    <row r="124" spans="2:2" ht="12.5" x14ac:dyDescent="0.25">
      <c r="B124" s="9"/>
    </row>
    <row r="125" spans="2:2" ht="12.5" x14ac:dyDescent="0.25">
      <c r="B125" s="9"/>
    </row>
    <row r="126" spans="2:2" ht="12.5" x14ac:dyDescent="0.25">
      <c r="B126" s="9"/>
    </row>
    <row r="127" spans="2:2" ht="12.5" x14ac:dyDescent="0.25">
      <c r="B127" s="9"/>
    </row>
    <row r="128" spans="2:2" ht="12.5" x14ac:dyDescent="0.25">
      <c r="B128" s="9"/>
    </row>
    <row r="129" spans="2:2" ht="12.5" x14ac:dyDescent="0.25">
      <c r="B129" s="9"/>
    </row>
    <row r="130" spans="2:2" ht="12.5" x14ac:dyDescent="0.25">
      <c r="B130" s="9"/>
    </row>
    <row r="131" spans="2:2" ht="12.5" x14ac:dyDescent="0.25">
      <c r="B131" s="9"/>
    </row>
    <row r="132" spans="2:2" ht="12.5" x14ac:dyDescent="0.25">
      <c r="B132" s="9"/>
    </row>
    <row r="133" spans="2:2" ht="12.5" x14ac:dyDescent="0.25">
      <c r="B133" s="9"/>
    </row>
    <row r="134" spans="2:2" ht="12.5" x14ac:dyDescent="0.25">
      <c r="B134" s="9"/>
    </row>
    <row r="135" spans="2:2" ht="12.5" x14ac:dyDescent="0.25">
      <c r="B135" s="9"/>
    </row>
    <row r="136" spans="2:2" ht="12.5" x14ac:dyDescent="0.25">
      <c r="B136" s="9"/>
    </row>
    <row r="137" spans="2:2" ht="12.5" x14ac:dyDescent="0.25">
      <c r="B137" s="9"/>
    </row>
    <row r="138" spans="2:2" ht="12.5" x14ac:dyDescent="0.25">
      <c r="B138" s="9"/>
    </row>
    <row r="139" spans="2:2" ht="12.5" x14ac:dyDescent="0.25">
      <c r="B139" s="9"/>
    </row>
    <row r="140" spans="2:2" ht="12.5" x14ac:dyDescent="0.25">
      <c r="B140" s="9"/>
    </row>
    <row r="141" spans="2:2" ht="12.5" x14ac:dyDescent="0.25">
      <c r="B141" s="9"/>
    </row>
    <row r="142" spans="2:2" ht="12.5" x14ac:dyDescent="0.25">
      <c r="B142" s="9"/>
    </row>
    <row r="143" spans="2:2" ht="12.5" x14ac:dyDescent="0.25">
      <c r="B143" s="9"/>
    </row>
    <row r="144" spans="2:2" ht="12.5" x14ac:dyDescent="0.25">
      <c r="B144" s="9"/>
    </row>
    <row r="145" spans="2:2" ht="12.5" x14ac:dyDescent="0.25">
      <c r="B145" s="9"/>
    </row>
    <row r="146" spans="2:2" ht="12.5" x14ac:dyDescent="0.25">
      <c r="B146" s="9"/>
    </row>
    <row r="147" spans="2:2" ht="12.5" x14ac:dyDescent="0.25">
      <c r="B147" s="9"/>
    </row>
    <row r="148" spans="2:2" ht="12.5" x14ac:dyDescent="0.25">
      <c r="B148" s="9"/>
    </row>
    <row r="149" spans="2:2" ht="12.5" x14ac:dyDescent="0.25">
      <c r="B149" s="9"/>
    </row>
    <row r="150" spans="2:2" ht="12.5" x14ac:dyDescent="0.25">
      <c r="B150" s="9"/>
    </row>
    <row r="151" spans="2:2" ht="12.5" x14ac:dyDescent="0.25">
      <c r="B151" s="9"/>
    </row>
    <row r="152" spans="2:2" ht="12.5" x14ac:dyDescent="0.25">
      <c r="B152" s="9"/>
    </row>
    <row r="153" spans="2:2" ht="12.5" x14ac:dyDescent="0.25">
      <c r="B153" s="9"/>
    </row>
    <row r="154" spans="2:2" ht="12.5" x14ac:dyDescent="0.25">
      <c r="B154" s="9"/>
    </row>
    <row r="155" spans="2:2" ht="12.5" x14ac:dyDescent="0.25">
      <c r="B155" s="9"/>
    </row>
    <row r="156" spans="2:2" ht="12.5" x14ac:dyDescent="0.25">
      <c r="B156" s="9"/>
    </row>
    <row r="157" spans="2:2" ht="12.5" x14ac:dyDescent="0.25">
      <c r="B157" s="9"/>
    </row>
    <row r="158" spans="2:2" ht="12.5" x14ac:dyDescent="0.25">
      <c r="B158" s="9"/>
    </row>
    <row r="159" spans="2:2" ht="12.5" x14ac:dyDescent="0.25">
      <c r="B159" s="9"/>
    </row>
    <row r="160" spans="2:2" ht="12.5" x14ac:dyDescent="0.25">
      <c r="B160" s="9"/>
    </row>
    <row r="161" spans="2:2" ht="12.5" x14ac:dyDescent="0.25">
      <c r="B161" s="9"/>
    </row>
    <row r="162" spans="2:2" ht="12.5" x14ac:dyDescent="0.25">
      <c r="B162" s="9"/>
    </row>
    <row r="163" spans="2:2" ht="12.5" x14ac:dyDescent="0.25">
      <c r="B163" s="9"/>
    </row>
    <row r="164" spans="2:2" ht="12.5" x14ac:dyDescent="0.25">
      <c r="B164" s="9"/>
    </row>
    <row r="165" spans="2:2" ht="12.5" x14ac:dyDescent="0.25">
      <c r="B165" s="9"/>
    </row>
    <row r="166" spans="2:2" ht="12.5" x14ac:dyDescent="0.25">
      <c r="B166" s="9"/>
    </row>
    <row r="167" spans="2:2" ht="12.5" x14ac:dyDescent="0.25">
      <c r="B167" s="9"/>
    </row>
    <row r="168" spans="2:2" ht="12.5" x14ac:dyDescent="0.25">
      <c r="B168" s="9"/>
    </row>
    <row r="169" spans="2:2" ht="12.5" x14ac:dyDescent="0.25">
      <c r="B169" s="9"/>
    </row>
    <row r="170" spans="2:2" ht="12.5" x14ac:dyDescent="0.25">
      <c r="B170" s="9"/>
    </row>
    <row r="171" spans="2:2" ht="12.5" x14ac:dyDescent="0.25">
      <c r="B171" s="9"/>
    </row>
    <row r="172" spans="2:2" ht="12.5" x14ac:dyDescent="0.25">
      <c r="B172" s="9"/>
    </row>
    <row r="173" spans="2:2" ht="12.5" x14ac:dyDescent="0.25">
      <c r="B173" s="9"/>
    </row>
    <row r="174" spans="2:2" ht="12.5" x14ac:dyDescent="0.25">
      <c r="B174" s="9"/>
    </row>
    <row r="175" spans="2:2" ht="12.5" x14ac:dyDescent="0.25">
      <c r="B175" s="9"/>
    </row>
    <row r="176" spans="2:2" ht="12.5" x14ac:dyDescent="0.25">
      <c r="B176" s="9"/>
    </row>
    <row r="177" spans="2:2" ht="12.5" x14ac:dyDescent="0.25">
      <c r="B177" s="9"/>
    </row>
    <row r="178" spans="2:2" ht="12.5" x14ac:dyDescent="0.25">
      <c r="B178" s="9"/>
    </row>
    <row r="179" spans="2:2" ht="12.5" x14ac:dyDescent="0.25">
      <c r="B179" s="9"/>
    </row>
    <row r="180" spans="2:2" ht="12.5" x14ac:dyDescent="0.25">
      <c r="B180" s="9"/>
    </row>
    <row r="181" spans="2:2" ht="12.5" x14ac:dyDescent="0.25">
      <c r="B181" s="9"/>
    </row>
    <row r="182" spans="2:2" ht="12.5" x14ac:dyDescent="0.25">
      <c r="B182" s="9"/>
    </row>
    <row r="183" spans="2:2" ht="12.5" x14ac:dyDescent="0.25">
      <c r="B183" s="9"/>
    </row>
    <row r="184" spans="2:2" ht="12.5" x14ac:dyDescent="0.25">
      <c r="B184" s="9"/>
    </row>
    <row r="185" spans="2:2" ht="12.5" x14ac:dyDescent="0.25">
      <c r="B185" s="9"/>
    </row>
    <row r="186" spans="2:2" ht="12.5" x14ac:dyDescent="0.25">
      <c r="B186" s="9"/>
    </row>
    <row r="187" spans="2:2" ht="12.5" x14ac:dyDescent="0.25">
      <c r="B187" s="9"/>
    </row>
    <row r="188" spans="2:2" ht="12.5" x14ac:dyDescent="0.25">
      <c r="B188" s="9"/>
    </row>
    <row r="189" spans="2:2" ht="12.5" x14ac:dyDescent="0.25">
      <c r="B189" s="9"/>
    </row>
    <row r="190" spans="2:2" ht="12.5" x14ac:dyDescent="0.25">
      <c r="B190" s="9"/>
    </row>
    <row r="191" spans="2:2" ht="12.5" x14ac:dyDescent="0.25">
      <c r="B191" s="9"/>
    </row>
    <row r="192" spans="2:2" ht="12.5" x14ac:dyDescent="0.25">
      <c r="B192" s="9"/>
    </row>
    <row r="193" spans="2:2" ht="12.5" x14ac:dyDescent="0.25">
      <c r="B193" s="9"/>
    </row>
    <row r="194" spans="2:2" ht="12.5" x14ac:dyDescent="0.25">
      <c r="B194" s="9"/>
    </row>
    <row r="195" spans="2:2" ht="12.5" x14ac:dyDescent="0.25">
      <c r="B195" s="9"/>
    </row>
    <row r="196" spans="2:2" ht="12.5" x14ac:dyDescent="0.25">
      <c r="B196" s="9"/>
    </row>
    <row r="197" spans="2:2" ht="12.5" x14ac:dyDescent="0.25">
      <c r="B197" s="9"/>
    </row>
    <row r="198" spans="2:2" ht="12.5" x14ac:dyDescent="0.25">
      <c r="B198" s="9"/>
    </row>
    <row r="199" spans="2:2" ht="12.5" x14ac:dyDescent="0.25">
      <c r="B199" s="9"/>
    </row>
    <row r="200" spans="2:2" ht="12.5" x14ac:dyDescent="0.25">
      <c r="B200" s="9"/>
    </row>
    <row r="201" spans="2:2" ht="12.5" x14ac:dyDescent="0.25">
      <c r="B201" s="9"/>
    </row>
    <row r="202" spans="2:2" ht="12.5" x14ac:dyDescent="0.25">
      <c r="B202" s="9"/>
    </row>
    <row r="203" spans="2:2" ht="12.5" x14ac:dyDescent="0.25">
      <c r="B203" s="9"/>
    </row>
    <row r="204" spans="2:2" ht="12.5" x14ac:dyDescent="0.25">
      <c r="B204" s="9"/>
    </row>
    <row r="205" spans="2:2" ht="12.5" x14ac:dyDescent="0.25">
      <c r="B205" s="9"/>
    </row>
    <row r="206" spans="2:2" ht="12.5" x14ac:dyDescent="0.25">
      <c r="B206" s="9"/>
    </row>
    <row r="207" spans="2:2" ht="12.5" x14ac:dyDescent="0.25">
      <c r="B207" s="9"/>
    </row>
    <row r="208" spans="2:2" ht="12.5" x14ac:dyDescent="0.25">
      <c r="B208" s="9"/>
    </row>
    <row r="209" spans="2:2" ht="12.5" x14ac:dyDescent="0.25">
      <c r="B209" s="9"/>
    </row>
    <row r="210" spans="2:2" ht="12.5" x14ac:dyDescent="0.25">
      <c r="B210" s="9"/>
    </row>
    <row r="211" spans="2:2" ht="12.5" x14ac:dyDescent="0.25">
      <c r="B211" s="9"/>
    </row>
    <row r="212" spans="2:2" ht="12.5" x14ac:dyDescent="0.25">
      <c r="B212" s="9"/>
    </row>
    <row r="213" spans="2:2" ht="12.5" x14ac:dyDescent="0.25">
      <c r="B213" s="9"/>
    </row>
    <row r="214" spans="2:2" ht="12.5" x14ac:dyDescent="0.25">
      <c r="B214" s="9"/>
    </row>
    <row r="215" spans="2:2" ht="12.5" x14ac:dyDescent="0.25">
      <c r="B215" s="9"/>
    </row>
    <row r="216" spans="2:2" ht="12.5" x14ac:dyDescent="0.25">
      <c r="B216" s="9"/>
    </row>
    <row r="217" spans="2:2" ht="12.5" x14ac:dyDescent="0.25">
      <c r="B217" s="9"/>
    </row>
    <row r="218" spans="2:2" ht="12.5" x14ac:dyDescent="0.25">
      <c r="B218" s="9"/>
    </row>
    <row r="219" spans="2:2" ht="12.5" x14ac:dyDescent="0.25">
      <c r="B219" s="9"/>
    </row>
    <row r="220" spans="2:2" ht="12.5" x14ac:dyDescent="0.25">
      <c r="B220" s="9"/>
    </row>
    <row r="221" spans="2:2" ht="12.5" x14ac:dyDescent="0.25">
      <c r="B221" s="9"/>
    </row>
    <row r="222" spans="2:2" ht="12.5" x14ac:dyDescent="0.25">
      <c r="B222" s="9"/>
    </row>
    <row r="223" spans="2:2" ht="12.5" x14ac:dyDescent="0.25">
      <c r="B223" s="9"/>
    </row>
    <row r="224" spans="2:2" ht="12.5" x14ac:dyDescent="0.25">
      <c r="B224" s="9"/>
    </row>
    <row r="225" spans="2:2" ht="12.5" x14ac:dyDescent="0.25">
      <c r="B225" s="9"/>
    </row>
    <row r="226" spans="2:2" ht="12.5" x14ac:dyDescent="0.25">
      <c r="B226" s="9"/>
    </row>
    <row r="227" spans="2:2" ht="12.5" x14ac:dyDescent="0.25">
      <c r="B227" s="9"/>
    </row>
    <row r="228" spans="2:2" ht="12.5" x14ac:dyDescent="0.25">
      <c r="B228" s="9"/>
    </row>
    <row r="229" spans="2:2" ht="12.5" x14ac:dyDescent="0.25">
      <c r="B229" s="9"/>
    </row>
    <row r="230" spans="2:2" ht="12.5" x14ac:dyDescent="0.25">
      <c r="B230" s="9"/>
    </row>
    <row r="231" spans="2:2" ht="12.5" x14ac:dyDescent="0.25">
      <c r="B231" s="9"/>
    </row>
    <row r="232" spans="2:2" ht="12.5" x14ac:dyDescent="0.25">
      <c r="B232" s="9"/>
    </row>
    <row r="233" spans="2:2" ht="12.5" x14ac:dyDescent="0.25">
      <c r="B233" s="9"/>
    </row>
    <row r="234" spans="2:2" ht="12.5" x14ac:dyDescent="0.25">
      <c r="B234" s="9"/>
    </row>
    <row r="235" spans="2:2" ht="12.5" x14ac:dyDescent="0.25">
      <c r="B235" s="9"/>
    </row>
    <row r="236" spans="2:2" ht="12.5" x14ac:dyDescent="0.25">
      <c r="B236" s="9"/>
    </row>
    <row r="237" spans="2:2" ht="12.5" x14ac:dyDescent="0.25">
      <c r="B237" s="9"/>
    </row>
    <row r="238" spans="2:2" ht="12.5" x14ac:dyDescent="0.25">
      <c r="B238" s="9"/>
    </row>
    <row r="239" spans="2:2" ht="12.5" x14ac:dyDescent="0.25">
      <c r="B239" s="9"/>
    </row>
    <row r="240" spans="2:2" ht="12.5" x14ac:dyDescent="0.25">
      <c r="B240" s="9"/>
    </row>
    <row r="241" spans="2:2" ht="12.5" x14ac:dyDescent="0.25">
      <c r="B241" s="9"/>
    </row>
    <row r="242" spans="2:2" ht="12.5" x14ac:dyDescent="0.25">
      <c r="B242" s="9"/>
    </row>
    <row r="243" spans="2:2" ht="12.5" x14ac:dyDescent="0.25">
      <c r="B243" s="9"/>
    </row>
    <row r="244" spans="2:2" ht="12.5" x14ac:dyDescent="0.25">
      <c r="B244" s="9"/>
    </row>
    <row r="245" spans="2:2" ht="12.5" x14ac:dyDescent="0.25">
      <c r="B245" s="9"/>
    </row>
    <row r="246" spans="2:2" ht="12.5" x14ac:dyDescent="0.25">
      <c r="B246" s="9"/>
    </row>
    <row r="247" spans="2:2" ht="12.5" x14ac:dyDescent="0.25">
      <c r="B247" s="9"/>
    </row>
    <row r="248" spans="2:2" ht="12.5" x14ac:dyDescent="0.25">
      <c r="B248" s="9"/>
    </row>
    <row r="249" spans="2:2" ht="12.5" x14ac:dyDescent="0.25">
      <c r="B249" s="9"/>
    </row>
    <row r="250" spans="2:2" ht="12.5" x14ac:dyDescent="0.25">
      <c r="B250" s="9"/>
    </row>
    <row r="251" spans="2:2" ht="12.5" x14ac:dyDescent="0.25">
      <c r="B251" s="9"/>
    </row>
    <row r="252" spans="2:2" ht="12.5" x14ac:dyDescent="0.25">
      <c r="B252" s="9"/>
    </row>
    <row r="253" spans="2:2" ht="12.5" x14ac:dyDescent="0.25">
      <c r="B253" s="9"/>
    </row>
    <row r="254" spans="2:2" ht="12.5" x14ac:dyDescent="0.25">
      <c r="B254" s="9"/>
    </row>
    <row r="255" spans="2:2" ht="12.5" x14ac:dyDescent="0.25">
      <c r="B255" s="9"/>
    </row>
    <row r="256" spans="2:2" ht="12.5" x14ac:dyDescent="0.25">
      <c r="B256" s="9"/>
    </row>
    <row r="257" spans="2:2" ht="12.5" x14ac:dyDescent="0.25">
      <c r="B257" s="9"/>
    </row>
    <row r="258" spans="2:2" ht="12.5" x14ac:dyDescent="0.25">
      <c r="B258" s="9"/>
    </row>
    <row r="259" spans="2:2" ht="12.5" x14ac:dyDescent="0.25">
      <c r="B259" s="9"/>
    </row>
    <row r="260" spans="2:2" ht="12.5" x14ac:dyDescent="0.25">
      <c r="B260" s="9"/>
    </row>
    <row r="261" spans="2:2" ht="12.5" x14ac:dyDescent="0.25">
      <c r="B261" s="9"/>
    </row>
    <row r="262" spans="2:2" ht="12.5" x14ac:dyDescent="0.25">
      <c r="B262" s="9"/>
    </row>
    <row r="263" spans="2:2" ht="12.5" x14ac:dyDescent="0.25">
      <c r="B263" s="9"/>
    </row>
    <row r="264" spans="2:2" ht="12.5" x14ac:dyDescent="0.25">
      <c r="B264" s="9"/>
    </row>
    <row r="265" spans="2:2" ht="12.5" x14ac:dyDescent="0.25">
      <c r="B265" s="9"/>
    </row>
    <row r="266" spans="2:2" ht="12.5" x14ac:dyDescent="0.25">
      <c r="B266" s="9"/>
    </row>
    <row r="267" spans="2:2" ht="12.5" x14ac:dyDescent="0.25">
      <c r="B267" s="9"/>
    </row>
    <row r="268" spans="2:2" ht="12.5" x14ac:dyDescent="0.25">
      <c r="B268" s="9"/>
    </row>
    <row r="269" spans="2:2" ht="12.5" x14ac:dyDescent="0.25">
      <c r="B269" s="9"/>
    </row>
    <row r="270" spans="2:2" ht="12.5" x14ac:dyDescent="0.25">
      <c r="B270" s="9"/>
    </row>
    <row r="271" spans="2:2" ht="12.5" x14ac:dyDescent="0.25">
      <c r="B271" s="9"/>
    </row>
    <row r="272" spans="2:2" ht="12.5" x14ac:dyDescent="0.25">
      <c r="B272" s="9"/>
    </row>
    <row r="273" spans="2:2" ht="12.5" x14ac:dyDescent="0.25">
      <c r="B273" s="9"/>
    </row>
    <row r="274" spans="2:2" ht="12.5" x14ac:dyDescent="0.25">
      <c r="B274" s="9"/>
    </row>
    <row r="275" spans="2:2" ht="12.5" x14ac:dyDescent="0.25">
      <c r="B275" s="9"/>
    </row>
    <row r="276" spans="2:2" ht="12.5" x14ac:dyDescent="0.25">
      <c r="B276" s="9"/>
    </row>
    <row r="277" spans="2:2" ht="12.5" x14ac:dyDescent="0.25">
      <c r="B277" s="9"/>
    </row>
    <row r="278" spans="2:2" ht="12.5" x14ac:dyDescent="0.25">
      <c r="B278" s="9"/>
    </row>
    <row r="279" spans="2:2" ht="12.5" x14ac:dyDescent="0.25">
      <c r="B279" s="9"/>
    </row>
    <row r="280" spans="2:2" ht="12.5" x14ac:dyDescent="0.25">
      <c r="B280" s="9"/>
    </row>
    <row r="281" spans="2:2" ht="12.5" x14ac:dyDescent="0.25">
      <c r="B281" s="9"/>
    </row>
    <row r="282" spans="2:2" ht="12.5" x14ac:dyDescent="0.25">
      <c r="B282" s="9"/>
    </row>
    <row r="283" spans="2:2" ht="12.5" x14ac:dyDescent="0.25">
      <c r="B283" s="9"/>
    </row>
    <row r="284" spans="2:2" ht="12.5" x14ac:dyDescent="0.25">
      <c r="B284" s="9"/>
    </row>
    <row r="285" spans="2:2" ht="12.5" x14ac:dyDescent="0.25">
      <c r="B285" s="9"/>
    </row>
    <row r="286" spans="2:2" ht="12.5" x14ac:dyDescent="0.25">
      <c r="B286" s="9"/>
    </row>
    <row r="287" spans="2:2" ht="12.5" x14ac:dyDescent="0.25">
      <c r="B287" s="9"/>
    </row>
    <row r="288" spans="2:2" ht="12.5" x14ac:dyDescent="0.25">
      <c r="B288" s="9"/>
    </row>
    <row r="289" spans="2:2" ht="12.5" x14ac:dyDescent="0.25">
      <c r="B289" s="9"/>
    </row>
    <row r="290" spans="2:2" ht="12.5" x14ac:dyDescent="0.25">
      <c r="B290" s="9"/>
    </row>
    <row r="291" spans="2:2" ht="12.5" x14ac:dyDescent="0.25">
      <c r="B291" s="9"/>
    </row>
    <row r="292" spans="2:2" ht="12.5" x14ac:dyDescent="0.25">
      <c r="B292" s="9"/>
    </row>
    <row r="293" spans="2:2" ht="12.5" x14ac:dyDescent="0.25">
      <c r="B293" s="9"/>
    </row>
    <row r="294" spans="2:2" ht="12.5" x14ac:dyDescent="0.25">
      <c r="B294" s="9"/>
    </row>
    <row r="295" spans="2:2" ht="12.5" x14ac:dyDescent="0.25">
      <c r="B295" s="9"/>
    </row>
    <row r="296" spans="2:2" ht="12.5" x14ac:dyDescent="0.25">
      <c r="B296" s="9"/>
    </row>
    <row r="297" spans="2:2" ht="12.5" x14ac:dyDescent="0.25">
      <c r="B297" s="9"/>
    </row>
    <row r="298" spans="2:2" ht="12.5" x14ac:dyDescent="0.25">
      <c r="B298" s="9"/>
    </row>
    <row r="299" spans="2:2" ht="12.5" x14ac:dyDescent="0.25">
      <c r="B299" s="9"/>
    </row>
    <row r="300" spans="2:2" ht="12.5" x14ac:dyDescent="0.25">
      <c r="B300" s="9"/>
    </row>
    <row r="301" spans="2:2" ht="12.5" x14ac:dyDescent="0.25">
      <c r="B301" s="9"/>
    </row>
    <row r="302" spans="2:2" ht="12.5" x14ac:dyDescent="0.25">
      <c r="B302" s="9"/>
    </row>
    <row r="303" spans="2:2" ht="12.5" x14ac:dyDescent="0.25">
      <c r="B303" s="9"/>
    </row>
    <row r="304" spans="2:2" ht="12.5" x14ac:dyDescent="0.25">
      <c r="B304" s="9"/>
    </row>
    <row r="305" spans="2:2" ht="12.5" x14ac:dyDescent="0.25">
      <c r="B305" s="9"/>
    </row>
    <row r="306" spans="2:2" ht="12.5" x14ac:dyDescent="0.25">
      <c r="B306" s="9"/>
    </row>
    <row r="307" spans="2:2" ht="12.5" x14ac:dyDescent="0.25">
      <c r="B307" s="9"/>
    </row>
    <row r="308" spans="2:2" ht="12.5" x14ac:dyDescent="0.25">
      <c r="B308" s="9"/>
    </row>
    <row r="309" spans="2:2" ht="12.5" x14ac:dyDescent="0.25">
      <c r="B309" s="9"/>
    </row>
    <row r="310" spans="2:2" ht="12.5" x14ac:dyDescent="0.25">
      <c r="B310" s="9"/>
    </row>
    <row r="311" spans="2:2" ht="12.5" x14ac:dyDescent="0.25">
      <c r="B311" s="9"/>
    </row>
    <row r="312" spans="2:2" ht="12.5" x14ac:dyDescent="0.25">
      <c r="B312" s="9"/>
    </row>
    <row r="313" spans="2:2" ht="12.5" x14ac:dyDescent="0.25">
      <c r="B313" s="9"/>
    </row>
    <row r="314" spans="2:2" ht="12.5" x14ac:dyDescent="0.25">
      <c r="B314" s="9"/>
    </row>
    <row r="315" spans="2:2" ht="12.5" x14ac:dyDescent="0.25">
      <c r="B315" s="9"/>
    </row>
    <row r="316" spans="2:2" ht="12.5" x14ac:dyDescent="0.25">
      <c r="B316" s="9"/>
    </row>
    <row r="317" spans="2:2" ht="12.5" x14ac:dyDescent="0.25">
      <c r="B317" s="9"/>
    </row>
    <row r="318" spans="2:2" ht="12.5" x14ac:dyDescent="0.25">
      <c r="B318" s="9"/>
    </row>
    <row r="319" spans="2:2" ht="12.5" x14ac:dyDescent="0.25">
      <c r="B319" s="9"/>
    </row>
    <row r="320" spans="2:2" ht="12.5" x14ac:dyDescent="0.25">
      <c r="B320" s="9"/>
    </row>
    <row r="321" spans="2:2" ht="12.5" x14ac:dyDescent="0.25">
      <c r="B321" s="9"/>
    </row>
    <row r="322" spans="2:2" ht="12.5" x14ac:dyDescent="0.25">
      <c r="B322" s="9"/>
    </row>
    <row r="323" spans="2:2" ht="12.5" x14ac:dyDescent="0.25">
      <c r="B323" s="9"/>
    </row>
    <row r="324" spans="2:2" ht="12.5" x14ac:dyDescent="0.25">
      <c r="B324" s="9"/>
    </row>
    <row r="325" spans="2:2" ht="12.5" x14ac:dyDescent="0.25">
      <c r="B325" s="9"/>
    </row>
    <row r="326" spans="2:2" ht="12.5" x14ac:dyDescent="0.25">
      <c r="B326" s="9"/>
    </row>
    <row r="327" spans="2:2" ht="12.5" x14ac:dyDescent="0.25">
      <c r="B327" s="9"/>
    </row>
    <row r="328" spans="2:2" ht="12.5" x14ac:dyDescent="0.25">
      <c r="B328" s="9"/>
    </row>
    <row r="329" spans="2:2" ht="12.5" x14ac:dyDescent="0.25">
      <c r="B329" s="9"/>
    </row>
    <row r="330" spans="2:2" ht="12.5" x14ac:dyDescent="0.25">
      <c r="B330" s="9"/>
    </row>
    <row r="331" spans="2:2" ht="12.5" x14ac:dyDescent="0.25">
      <c r="B331" s="9"/>
    </row>
    <row r="332" spans="2:2" ht="12.5" x14ac:dyDescent="0.25">
      <c r="B332" s="9"/>
    </row>
    <row r="333" spans="2:2" ht="12.5" x14ac:dyDescent="0.25">
      <c r="B333" s="9"/>
    </row>
    <row r="334" spans="2:2" ht="12.5" x14ac:dyDescent="0.25">
      <c r="B334" s="9"/>
    </row>
    <row r="335" spans="2:2" ht="12.5" x14ac:dyDescent="0.25">
      <c r="B335" s="9"/>
    </row>
    <row r="336" spans="2:2" ht="12.5" x14ac:dyDescent="0.25">
      <c r="B336" s="9"/>
    </row>
    <row r="337" spans="2:2" ht="12.5" x14ac:dyDescent="0.25">
      <c r="B337" s="9"/>
    </row>
    <row r="338" spans="2:2" ht="12.5" x14ac:dyDescent="0.25">
      <c r="B338" s="9"/>
    </row>
    <row r="339" spans="2:2" ht="12.5" x14ac:dyDescent="0.25">
      <c r="B339" s="9"/>
    </row>
    <row r="340" spans="2:2" ht="12.5" x14ac:dyDescent="0.25">
      <c r="B340" s="9"/>
    </row>
    <row r="341" spans="2:2" ht="12.5" x14ac:dyDescent="0.25">
      <c r="B341" s="9"/>
    </row>
    <row r="342" spans="2:2" ht="12.5" x14ac:dyDescent="0.25">
      <c r="B342" s="9"/>
    </row>
    <row r="343" spans="2:2" ht="12.5" x14ac:dyDescent="0.25">
      <c r="B343" s="9"/>
    </row>
    <row r="344" spans="2:2" ht="12.5" x14ac:dyDescent="0.25">
      <c r="B344" s="9"/>
    </row>
    <row r="345" spans="2:2" ht="12.5" x14ac:dyDescent="0.25">
      <c r="B345" s="9"/>
    </row>
    <row r="346" spans="2:2" ht="12.5" x14ac:dyDescent="0.25">
      <c r="B346" s="9"/>
    </row>
    <row r="347" spans="2:2" ht="12.5" x14ac:dyDescent="0.25">
      <c r="B347" s="9"/>
    </row>
    <row r="348" spans="2:2" ht="12.5" x14ac:dyDescent="0.25">
      <c r="B348" s="9"/>
    </row>
    <row r="349" spans="2:2" ht="12.5" x14ac:dyDescent="0.25">
      <c r="B349" s="9"/>
    </row>
    <row r="350" spans="2:2" ht="12.5" x14ac:dyDescent="0.25">
      <c r="B350" s="9"/>
    </row>
    <row r="351" spans="2:2" ht="12.5" x14ac:dyDescent="0.25">
      <c r="B351" s="9"/>
    </row>
    <row r="352" spans="2:2" ht="12.5" x14ac:dyDescent="0.25">
      <c r="B352" s="9"/>
    </row>
    <row r="353" spans="2:2" ht="12.5" x14ac:dyDescent="0.25">
      <c r="B353" s="9"/>
    </row>
    <row r="354" spans="2:2" ht="12.5" x14ac:dyDescent="0.25">
      <c r="B354" s="9"/>
    </row>
    <row r="355" spans="2:2" ht="12.5" x14ac:dyDescent="0.25">
      <c r="B355" s="9"/>
    </row>
    <row r="356" spans="2:2" ht="12.5" x14ac:dyDescent="0.25">
      <c r="B356" s="9"/>
    </row>
    <row r="357" spans="2:2" ht="12.5" x14ac:dyDescent="0.25">
      <c r="B357" s="9"/>
    </row>
    <row r="358" spans="2:2" ht="12.5" x14ac:dyDescent="0.25">
      <c r="B358" s="9"/>
    </row>
    <row r="359" spans="2:2" ht="12.5" x14ac:dyDescent="0.25">
      <c r="B359" s="9"/>
    </row>
    <row r="360" spans="2:2" ht="12.5" x14ac:dyDescent="0.25">
      <c r="B360" s="9"/>
    </row>
    <row r="361" spans="2:2" ht="12.5" x14ac:dyDescent="0.25">
      <c r="B361" s="9"/>
    </row>
    <row r="362" spans="2:2" ht="12.5" x14ac:dyDescent="0.25">
      <c r="B362" s="9"/>
    </row>
    <row r="363" spans="2:2" ht="12.5" x14ac:dyDescent="0.25">
      <c r="B363" s="9"/>
    </row>
    <row r="364" spans="2:2" ht="12.5" x14ac:dyDescent="0.25">
      <c r="B364" s="9"/>
    </row>
    <row r="365" spans="2:2" ht="12.5" x14ac:dyDescent="0.25">
      <c r="B365" s="9"/>
    </row>
    <row r="366" spans="2:2" ht="12.5" x14ac:dyDescent="0.25">
      <c r="B366" s="9"/>
    </row>
    <row r="367" spans="2:2" ht="12.5" x14ac:dyDescent="0.25">
      <c r="B367" s="9"/>
    </row>
    <row r="368" spans="2:2" ht="12.5" x14ac:dyDescent="0.25">
      <c r="B368" s="9"/>
    </row>
    <row r="369" spans="2:2" ht="12.5" x14ac:dyDescent="0.25">
      <c r="B369" s="9"/>
    </row>
    <row r="370" spans="2:2" ht="12.5" x14ac:dyDescent="0.25">
      <c r="B370" s="9"/>
    </row>
    <row r="371" spans="2:2" ht="12.5" x14ac:dyDescent="0.25">
      <c r="B371" s="9"/>
    </row>
    <row r="372" spans="2:2" ht="12.5" x14ac:dyDescent="0.25">
      <c r="B372" s="9"/>
    </row>
    <row r="373" spans="2:2" ht="12.5" x14ac:dyDescent="0.25">
      <c r="B373" s="9"/>
    </row>
    <row r="374" spans="2:2" ht="12.5" x14ac:dyDescent="0.25">
      <c r="B374" s="9"/>
    </row>
    <row r="375" spans="2:2" ht="12.5" x14ac:dyDescent="0.25">
      <c r="B375" s="9"/>
    </row>
    <row r="376" spans="2:2" ht="12.5" x14ac:dyDescent="0.25">
      <c r="B376" s="9"/>
    </row>
    <row r="377" spans="2:2" ht="12.5" x14ac:dyDescent="0.25">
      <c r="B377" s="9"/>
    </row>
    <row r="378" spans="2:2" ht="12.5" x14ac:dyDescent="0.25">
      <c r="B378" s="9"/>
    </row>
    <row r="379" spans="2:2" ht="12.5" x14ac:dyDescent="0.25">
      <c r="B379" s="9"/>
    </row>
    <row r="380" spans="2:2" ht="12.5" x14ac:dyDescent="0.25">
      <c r="B380" s="9"/>
    </row>
    <row r="381" spans="2:2" ht="12.5" x14ac:dyDescent="0.25">
      <c r="B381" s="9"/>
    </row>
    <row r="382" spans="2:2" ht="12.5" x14ac:dyDescent="0.25">
      <c r="B382" s="9"/>
    </row>
    <row r="383" spans="2:2" ht="12.5" x14ac:dyDescent="0.25">
      <c r="B383" s="9"/>
    </row>
    <row r="384" spans="2:2" ht="12.5" x14ac:dyDescent="0.25">
      <c r="B384" s="9"/>
    </row>
    <row r="385" spans="2:2" ht="12.5" x14ac:dyDescent="0.25">
      <c r="B385" s="9"/>
    </row>
    <row r="386" spans="2:2" ht="12.5" x14ac:dyDescent="0.25">
      <c r="B386" s="9"/>
    </row>
    <row r="387" spans="2:2" ht="12.5" x14ac:dyDescent="0.25">
      <c r="B387" s="9"/>
    </row>
    <row r="388" spans="2:2" ht="12.5" x14ac:dyDescent="0.25">
      <c r="B388" s="9"/>
    </row>
    <row r="389" spans="2:2" ht="12.5" x14ac:dyDescent="0.25">
      <c r="B389" s="9"/>
    </row>
    <row r="390" spans="2:2" ht="12.5" x14ac:dyDescent="0.25">
      <c r="B390" s="9"/>
    </row>
    <row r="391" spans="2:2" ht="12.5" x14ac:dyDescent="0.25">
      <c r="B391" s="9"/>
    </row>
    <row r="392" spans="2:2" ht="12.5" x14ac:dyDescent="0.25">
      <c r="B392" s="9"/>
    </row>
    <row r="393" spans="2:2" ht="12.5" x14ac:dyDescent="0.25">
      <c r="B393" s="9"/>
    </row>
    <row r="394" spans="2:2" ht="12.5" x14ac:dyDescent="0.25">
      <c r="B394" s="9"/>
    </row>
    <row r="395" spans="2:2" ht="12.5" x14ac:dyDescent="0.25">
      <c r="B395" s="9"/>
    </row>
    <row r="396" spans="2:2" ht="12.5" x14ac:dyDescent="0.25">
      <c r="B396" s="9"/>
    </row>
    <row r="397" spans="2:2" ht="12.5" x14ac:dyDescent="0.25">
      <c r="B397" s="9"/>
    </row>
    <row r="398" spans="2:2" ht="12.5" x14ac:dyDescent="0.25">
      <c r="B398" s="9"/>
    </row>
    <row r="399" spans="2:2" ht="12.5" x14ac:dyDescent="0.25">
      <c r="B399" s="9"/>
    </row>
    <row r="400" spans="2:2" ht="12.5" x14ac:dyDescent="0.25">
      <c r="B400" s="9"/>
    </row>
    <row r="401" spans="2:2" ht="12.5" x14ac:dyDescent="0.25">
      <c r="B401" s="9"/>
    </row>
    <row r="402" spans="2:2" ht="12.5" x14ac:dyDescent="0.25">
      <c r="B402" s="9"/>
    </row>
    <row r="403" spans="2:2" ht="12.5" x14ac:dyDescent="0.25">
      <c r="B403" s="9"/>
    </row>
    <row r="404" spans="2:2" ht="12.5" x14ac:dyDescent="0.25">
      <c r="B404" s="9"/>
    </row>
    <row r="405" spans="2:2" ht="12.5" x14ac:dyDescent="0.25">
      <c r="B405" s="9"/>
    </row>
    <row r="406" spans="2:2" ht="12.5" x14ac:dyDescent="0.25">
      <c r="B406" s="9"/>
    </row>
    <row r="407" spans="2:2" ht="12.5" x14ac:dyDescent="0.25">
      <c r="B407" s="9"/>
    </row>
    <row r="408" spans="2:2" ht="12.5" x14ac:dyDescent="0.25">
      <c r="B408" s="9"/>
    </row>
    <row r="409" spans="2:2" ht="12.5" x14ac:dyDescent="0.25">
      <c r="B409" s="9"/>
    </row>
    <row r="410" spans="2:2" ht="12.5" x14ac:dyDescent="0.25">
      <c r="B410" s="9"/>
    </row>
    <row r="411" spans="2:2" ht="12.5" x14ac:dyDescent="0.25">
      <c r="B411" s="9"/>
    </row>
    <row r="412" spans="2:2" ht="12.5" x14ac:dyDescent="0.25">
      <c r="B412" s="9"/>
    </row>
    <row r="413" spans="2:2" ht="12.5" x14ac:dyDescent="0.25">
      <c r="B413" s="9"/>
    </row>
    <row r="414" spans="2:2" ht="12.5" x14ac:dyDescent="0.25">
      <c r="B414" s="9"/>
    </row>
    <row r="415" spans="2:2" ht="12.5" x14ac:dyDescent="0.25">
      <c r="B415" s="9"/>
    </row>
    <row r="416" spans="2:2" ht="12.5" x14ac:dyDescent="0.25">
      <c r="B416" s="9"/>
    </row>
    <row r="417" spans="2:2" ht="12.5" x14ac:dyDescent="0.25">
      <c r="B417" s="9"/>
    </row>
    <row r="418" spans="2:2" ht="12.5" x14ac:dyDescent="0.25">
      <c r="B418" s="9"/>
    </row>
    <row r="419" spans="2:2" ht="12.5" x14ac:dyDescent="0.25">
      <c r="B419" s="9"/>
    </row>
    <row r="420" spans="2:2" ht="12.5" x14ac:dyDescent="0.25">
      <c r="B420" s="9"/>
    </row>
    <row r="421" spans="2:2" ht="12.5" x14ac:dyDescent="0.25">
      <c r="B421" s="9"/>
    </row>
    <row r="422" spans="2:2" ht="12.5" x14ac:dyDescent="0.25">
      <c r="B422" s="9"/>
    </row>
    <row r="423" spans="2:2" ht="12.5" x14ac:dyDescent="0.25">
      <c r="B423" s="9"/>
    </row>
    <row r="424" spans="2:2" ht="12.5" x14ac:dyDescent="0.25">
      <c r="B424" s="9"/>
    </row>
    <row r="425" spans="2:2" ht="12.5" x14ac:dyDescent="0.25">
      <c r="B425" s="9"/>
    </row>
    <row r="426" spans="2:2" ht="12.5" x14ac:dyDescent="0.25">
      <c r="B426" s="9"/>
    </row>
    <row r="427" spans="2:2" ht="12.5" x14ac:dyDescent="0.25">
      <c r="B427" s="9"/>
    </row>
    <row r="428" spans="2:2" ht="12.5" x14ac:dyDescent="0.25">
      <c r="B428" s="9"/>
    </row>
    <row r="429" spans="2:2" ht="12.5" x14ac:dyDescent="0.25">
      <c r="B429" s="9"/>
    </row>
    <row r="430" spans="2:2" ht="12.5" x14ac:dyDescent="0.25">
      <c r="B430" s="9"/>
    </row>
    <row r="431" spans="2:2" ht="12.5" x14ac:dyDescent="0.25">
      <c r="B431" s="9"/>
    </row>
    <row r="432" spans="2:2" ht="12.5" x14ac:dyDescent="0.25">
      <c r="B432" s="9"/>
    </row>
    <row r="433" spans="2:2" ht="12.5" x14ac:dyDescent="0.25">
      <c r="B433" s="9"/>
    </row>
    <row r="434" spans="2:2" ht="12.5" x14ac:dyDescent="0.25">
      <c r="B434" s="9"/>
    </row>
    <row r="435" spans="2:2" ht="12.5" x14ac:dyDescent="0.25">
      <c r="B435" s="9"/>
    </row>
    <row r="436" spans="2:2" ht="12.5" x14ac:dyDescent="0.25">
      <c r="B436" s="9"/>
    </row>
    <row r="437" spans="2:2" ht="12.5" x14ac:dyDescent="0.25">
      <c r="B437" s="9"/>
    </row>
    <row r="438" spans="2:2" ht="12.5" x14ac:dyDescent="0.25">
      <c r="B438" s="9"/>
    </row>
    <row r="439" spans="2:2" ht="12.5" x14ac:dyDescent="0.25">
      <c r="B439" s="9"/>
    </row>
    <row r="440" spans="2:2" ht="12.5" x14ac:dyDescent="0.25">
      <c r="B440" s="9"/>
    </row>
    <row r="441" spans="2:2" ht="12.5" x14ac:dyDescent="0.25">
      <c r="B441" s="9"/>
    </row>
    <row r="442" spans="2:2" ht="12.5" x14ac:dyDescent="0.25">
      <c r="B442" s="9"/>
    </row>
    <row r="443" spans="2:2" ht="12.5" x14ac:dyDescent="0.25">
      <c r="B443" s="9"/>
    </row>
    <row r="444" spans="2:2" ht="12.5" x14ac:dyDescent="0.25">
      <c r="B444" s="9"/>
    </row>
    <row r="445" spans="2:2" ht="12.5" x14ac:dyDescent="0.25">
      <c r="B445" s="9"/>
    </row>
    <row r="446" spans="2:2" ht="12.5" x14ac:dyDescent="0.25">
      <c r="B446" s="9"/>
    </row>
    <row r="447" spans="2:2" ht="12.5" x14ac:dyDescent="0.25">
      <c r="B447" s="9"/>
    </row>
    <row r="448" spans="2:2" ht="12.5" x14ac:dyDescent="0.25">
      <c r="B448" s="9"/>
    </row>
    <row r="449" spans="2:2" ht="12.5" x14ac:dyDescent="0.25">
      <c r="B449" s="9"/>
    </row>
    <row r="450" spans="2:2" ht="12.5" x14ac:dyDescent="0.25">
      <c r="B450" s="9"/>
    </row>
    <row r="451" spans="2:2" ht="12.5" x14ac:dyDescent="0.25">
      <c r="B451" s="9"/>
    </row>
    <row r="452" spans="2:2" ht="12.5" x14ac:dyDescent="0.25">
      <c r="B452" s="9"/>
    </row>
    <row r="453" spans="2:2" ht="12.5" x14ac:dyDescent="0.25">
      <c r="B453" s="9"/>
    </row>
    <row r="454" spans="2:2" ht="12.5" x14ac:dyDescent="0.25">
      <c r="B454" s="9"/>
    </row>
    <row r="455" spans="2:2" ht="12.5" x14ac:dyDescent="0.25">
      <c r="B455" s="9"/>
    </row>
    <row r="456" spans="2:2" ht="12.5" x14ac:dyDescent="0.25">
      <c r="B456" s="9"/>
    </row>
    <row r="457" spans="2:2" ht="12.5" x14ac:dyDescent="0.25">
      <c r="B457" s="9"/>
    </row>
    <row r="458" spans="2:2" ht="12.5" x14ac:dyDescent="0.25">
      <c r="B458" s="9"/>
    </row>
    <row r="459" spans="2:2" ht="12.5" x14ac:dyDescent="0.25">
      <c r="B459" s="9"/>
    </row>
    <row r="460" spans="2:2" ht="12.5" x14ac:dyDescent="0.25">
      <c r="B460" s="9"/>
    </row>
    <row r="461" spans="2:2" ht="12.5" x14ac:dyDescent="0.25">
      <c r="B461" s="9"/>
    </row>
    <row r="462" spans="2:2" ht="12.5" x14ac:dyDescent="0.25">
      <c r="B462" s="9"/>
    </row>
    <row r="463" spans="2:2" ht="12.5" x14ac:dyDescent="0.25">
      <c r="B463" s="9"/>
    </row>
    <row r="464" spans="2:2" ht="12.5" x14ac:dyDescent="0.25">
      <c r="B464" s="9"/>
    </row>
    <row r="465" spans="2:2" ht="12.5" x14ac:dyDescent="0.25">
      <c r="B465" s="9"/>
    </row>
    <row r="466" spans="2:2" ht="12.5" x14ac:dyDescent="0.25">
      <c r="B466" s="9"/>
    </row>
    <row r="467" spans="2:2" ht="12.5" x14ac:dyDescent="0.25">
      <c r="B467" s="9"/>
    </row>
    <row r="468" spans="2:2" ht="12.5" x14ac:dyDescent="0.25">
      <c r="B468" s="9"/>
    </row>
    <row r="469" spans="2:2" ht="12.5" x14ac:dyDescent="0.25">
      <c r="B469" s="9"/>
    </row>
    <row r="470" spans="2:2" ht="12.5" x14ac:dyDescent="0.25">
      <c r="B470" s="9"/>
    </row>
    <row r="471" spans="2:2" ht="12.5" x14ac:dyDescent="0.25">
      <c r="B471" s="9"/>
    </row>
    <row r="472" spans="2:2" ht="12.5" x14ac:dyDescent="0.25">
      <c r="B472" s="9"/>
    </row>
    <row r="473" spans="2:2" ht="12.5" x14ac:dyDescent="0.25">
      <c r="B473" s="9"/>
    </row>
    <row r="474" spans="2:2" ht="12.5" x14ac:dyDescent="0.25">
      <c r="B474" s="9"/>
    </row>
    <row r="475" spans="2:2" ht="12.5" x14ac:dyDescent="0.25">
      <c r="B475" s="9"/>
    </row>
    <row r="476" spans="2:2" ht="12.5" x14ac:dyDescent="0.25">
      <c r="B476" s="9"/>
    </row>
    <row r="477" spans="2:2" ht="12.5" x14ac:dyDescent="0.25">
      <c r="B477" s="9"/>
    </row>
    <row r="478" spans="2:2" ht="12.5" x14ac:dyDescent="0.25">
      <c r="B478" s="9"/>
    </row>
    <row r="479" spans="2:2" ht="12.5" x14ac:dyDescent="0.25">
      <c r="B479" s="9"/>
    </row>
    <row r="480" spans="2:2" ht="12.5" x14ac:dyDescent="0.25">
      <c r="B480" s="9"/>
    </row>
    <row r="481" spans="2:2" ht="12.5" x14ac:dyDescent="0.25">
      <c r="B481" s="9"/>
    </row>
    <row r="482" spans="2:2" ht="12.5" x14ac:dyDescent="0.25">
      <c r="B482" s="9"/>
    </row>
    <row r="483" spans="2:2" ht="12.5" x14ac:dyDescent="0.25">
      <c r="B483" s="9"/>
    </row>
    <row r="484" spans="2:2" ht="12.5" x14ac:dyDescent="0.25">
      <c r="B484" s="9"/>
    </row>
    <row r="485" spans="2:2" ht="12.5" x14ac:dyDescent="0.25">
      <c r="B485" s="9"/>
    </row>
    <row r="486" spans="2:2" ht="12.5" x14ac:dyDescent="0.25">
      <c r="B486" s="9"/>
    </row>
    <row r="487" spans="2:2" ht="12.5" x14ac:dyDescent="0.25">
      <c r="B487" s="9"/>
    </row>
    <row r="488" spans="2:2" ht="12.5" x14ac:dyDescent="0.25">
      <c r="B488" s="9"/>
    </row>
    <row r="489" spans="2:2" ht="12.5" x14ac:dyDescent="0.25">
      <c r="B489" s="9"/>
    </row>
    <row r="490" spans="2:2" ht="12.5" x14ac:dyDescent="0.25">
      <c r="B490" s="9"/>
    </row>
    <row r="491" spans="2:2" ht="12.5" x14ac:dyDescent="0.25">
      <c r="B491" s="9"/>
    </row>
    <row r="492" spans="2:2" ht="12.5" x14ac:dyDescent="0.25">
      <c r="B492" s="9"/>
    </row>
    <row r="493" spans="2:2" ht="12.5" x14ac:dyDescent="0.25">
      <c r="B493" s="9"/>
    </row>
    <row r="494" spans="2:2" ht="12.5" x14ac:dyDescent="0.25">
      <c r="B494" s="9"/>
    </row>
    <row r="495" spans="2:2" ht="12.5" x14ac:dyDescent="0.25">
      <c r="B495" s="9"/>
    </row>
    <row r="496" spans="2:2" ht="12.5" x14ac:dyDescent="0.25">
      <c r="B496" s="9"/>
    </row>
    <row r="497" spans="2:2" ht="12.5" x14ac:dyDescent="0.25">
      <c r="B497" s="9"/>
    </row>
    <row r="498" spans="2:2" ht="12.5" x14ac:dyDescent="0.25">
      <c r="B498" s="9"/>
    </row>
    <row r="499" spans="2:2" ht="12.5" x14ac:dyDescent="0.25">
      <c r="B499" s="9"/>
    </row>
    <row r="500" spans="2:2" ht="12.5" x14ac:dyDescent="0.25">
      <c r="B500" s="9"/>
    </row>
    <row r="501" spans="2:2" ht="12.5" x14ac:dyDescent="0.25">
      <c r="B501" s="9"/>
    </row>
    <row r="502" spans="2:2" ht="12.5" x14ac:dyDescent="0.25">
      <c r="B502" s="9"/>
    </row>
    <row r="503" spans="2:2" ht="12.5" x14ac:dyDescent="0.25">
      <c r="B503" s="9"/>
    </row>
    <row r="504" spans="2:2" ht="12.5" x14ac:dyDescent="0.25">
      <c r="B504" s="9"/>
    </row>
    <row r="505" spans="2:2" ht="12.5" x14ac:dyDescent="0.25">
      <c r="B505" s="9"/>
    </row>
    <row r="506" spans="2:2" ht="12.5" x14ac:dyDescent="0.25">
      <c r="B506" s="9"/>
    </row>
    <row r="507" spans="2:2" ht="12.5" x14ac:dyDescent="0.25">
      <c r="B507" s="9"/>
    </row>
    <row r="508" spans="2:2" ht="12.5" x14ac:dyDescent="0.25">
      <c r="B508" s="9"/>
    </row>
    <row r="509" spans="2:2" ht="12.5" x14ac:dyDescent="0.25">
      <c r="B509" s="9"/>
    </row>
    <row r="510" spans="2:2" ht="12.5" x14ac:dyDescent="0.25">
      <c r="B510" s="9"/>
    </row>
    <row r="511" spans="2:2" ht="12.5" x14ac:dyDescent="0.25">
      <c r="B511" s="9"/>
    </row>
    <row r="512" spans="2:2" ht="12.5" x14ac:dyDescent="0.25">
      <c r="B512" s="9"/>
    </row>
    <row r="513" spans="2:2" ht="12.5" x14ac:dyDescent="0.25">
      <c r="B513" s="9"/>
    </row>
    <row r="514" spans="2:2" ht="12.5" x14ac:dyDescent="0.25">
      <c r="B514" s="9"/>
    </row>
    <row r="515" spans="2:2" ht="12.5" x14ac:dyDescent="0.25">
      <c r="B515" s="9"/>
    </row>
    <row r="516" spans="2:2" ht="12.5" x14ac:dyDescent="0.25">
      <c r="B516" s="9"/>
    </row>
    <row r="517" spans="2:2" ht="12.5" x14ac:dyDescent="0.25">
      <c r="B517" s="9"/>
    </row>
    <row r="518" spans="2:2" ht="12.5" x14ac:dyDescent="0.25">
      <c r="B518" s="9"/>
    </row>
    <row r="519" spans="2:2" ht="12.5" x14ac:dyDescent="0.25">
      <c r="B519" s="9"/>
    </row>
    <row r="520" spans="2:2" ht="12.5" x14ac:dyDescent="0.25">
      <c r="B520" s="9"/>
    </row>
    <row r="521" spans="2:2" ht="12.5" x14ac:dyDescent="0.25">
      <c r="B521" s="9"/>
    </row>
    <row r="522" spans="2:2" ht="12.5" x14ac:dyDescent="0.25">
      <c r="B522" s="9"/>
    </row>
    <row r="523" spans="2:2" ht="12.5" x14ac:dyDescent="0.25">
      <c r="B523" s="9"/>
    </row>
    <row r="524" spans="2:2" ht="12.5" x14ac:dyDescent="0.25">
      <c r="B524" s="9"/>
    </row>
    <row r="525" spans="2:2" ht="12.5" x14ac:dyDescent="0.25">
      <c r="B525" s="9"/>
    </row>
    <row r="526" spans="2:2" ht="12.5" x14ac:dyDescent="0.25">
      <c r="B526" s="9"/>
    </row>
    <row r="527" spans="2:2" ht="12.5" x14ac:dyDescent="0.25">
      <c r="B527" s="9"/>
    </row>
    <row r="528" spans="2:2" ht="12.5" x14ac:dyDescent="0.25">
      <c r="B528" s="9"/>
    </row>
    <row r="529" spans="2:2" ht="12.5" x14ac:dyDescent="0.25">
      <c r="B529" s="9"/>
    </row>
    <row r="530" spans="2:2" ht="12.5" x14ac:dyDescent="0.25">
      <c r="B530" s="9"/>
    </row>
    <row r="531" spans="2:2" ht="12.5" x14ac:dyDescent="0.25">
      <c r="B531" s="9"/>
    </row>
    <row r="532" spans="2:2" ht="12.5" x14ac:dyDescent="0.25">
      <c r="B532" s="9"/>
    </row>
    <row r="533" spans="2:2" ht="12.5" x14ac:dyDescent="0.25">
      <c r="B533" s="9"/>
    </row>
    <row r="534" spans="2:2" ht="12.5" x14ac:dyDescent="0.25">
      <c r="B534" s="9"/>
    </row>
    <row r="535" spans="2:2" ht="12.5" x14ac:dyDescent="0.25">
      <c r="B535" s="9"/>
    </row>
    <row r="536" spans="2:2" ht="12.5" x14ac:dyDescent="0.25">
      <c r="B536" s="9"/>
    </row>
    <row r="537" spans="2:2" ht="12.5" x14ac:dyDescent="0.25">
      <c r="B537" s="9"/>
    </row>
    <row r="538" spans="2:2" ht="12.5" x14ac:dyDescent="0.25">
      <c r="B538" s="9"/>
    </row>
    <row r="539" spans="2:2" ht="12.5" x14ac:dyDescent="0.25">
      <c r="B539" s="9"/>
    </row>
    <row r="540" spans="2:2" ht="12.5" x14ac:dyDescent="0.25">
      <c r="B540" s="9"/>
    </row>
    <row r="541" spans="2:2" ht="12.5" x14ac:dyDescent="0.25">
      <c r="B541" s="9"/>
    </row>
    <row r="542" spans="2:2" ht="12.5" x14ac:dyDescent="0.25">
      <c r="B542" s="9"/>
    </row>
    <row r="543" spans="2:2" ht="12.5" x14ac:dyDescent="0.25">
      <c r="B543" s="9"/>
    </row>
    <row r="544" spans="2:2" ht="12.5" x14ac:dyDescent="0.25">
      <c r="B544" s="9"/>
    </row>
    <row r="545" spans="2:2" ht="12.5" x14ac:dyDescent="0.25">
      <c r="B545" s="9"/>
    </row>
    <row r="546" spans="2:2" ht="12.5" x14ac:dyDescent="0.25">
      <c r="B546" s="9"/>
    </row>
    <row r="547" spans="2:2" ht="12.5" x14ac:dyDescent="0.25">
      <c r="B547" s="9"/>
    </row>
    <row r="548" spans="2:2" ht="12.5" x14ac:dyDescent="0.25">
      <c r="B548" s="9"/>
    </row>
    <row r="549" spans="2:2" ht="12.5" x14ac:dyDescent="0.25">
      <c r="B549" s="9"/>
    </row>
    <row r="550" spans="2:2" ht="12.5" x14ac:dyDescent="0.25">
      <c r="B550" s="9"/>
    </row>
    <row r="551" spans="2:2" ht="12.5" x14ac:dyDescent="0.25">
      <c r="B551" s="9"/>
    </row>
    <row r="552" spans="2:2" ht="12.5" x14ac:dyDescent="0.25">
      <c r="B552" s="9"/>
    </row>
    <row r="553" spans="2:2" ht="12.5" x14ac:dyDescent="0.25">
      <c r="B553" s="9"/>
    </row>
    <row r="554" spans="2:2" ht="12.5" x14ac:dyDescent="0.25">
      <c r="B554" s="9"/>
    </row>
    <row r="555" spans="2:2" ht="12.5" x14ac:dyDescent="0.25">
      <c r="B555" s="9"/>
    </row>
    <row r="556" spans="2:2" ht="12.5" x14ac:dyDescent="0.25">
      <c r="B556" s="9"/>
    </row>
    <row r="557" spans="2:2" ht="12.5" x14ac:dyDescent="0.25">
      <c r="B557" s="9"/>
    </row>
    <row r="558" spans="2:2" ht="12.5" x14ac:dyDescent="0.25">
      <c r="B558" s="9"/>
    </row>
    <row r="559" spans="2:2" ht="12.5" x14ac:dyDescent="0.25">
      <c r="B559" s="9"/>
    </row>
    <row r="560" spans="2:2" ht="12.5" x14ac:dyDescent="0.25">
      <c r="B560" s="9"/>
    </row>
    <row r="561" spans="2:2" ht="12.5" x14ac:dyDescent="0.25">
      <c r="B561" s="9"/>
    </row>
    <row r="562" spans="2:2" ht="12.5" x14ac:dyDescent="0.25">
      <c r="B562" s="9"/>
    </row>
    <row r="563" spans="2:2" ht="12.5" x14ac:dyDescent="0.25">
      <c r="B563" s="9"/>
    </row>
    <row r="564" spans="2:2" ht="12.5" x14ac:dyDescent="0.25">
      <c r="B564" s="9"/>
    </row>
    <row r="565" spans="2:2" ht="12.5" x14ac:dyDescent="0.25">
      <c r="B565" s="9"/>
    </row>
    <row r="566" spans="2:2" ht="12.5" x14ac:dyDescent="0.25">
      <c r="B566" s="9"/>
    </row>
    <row r="567" spans="2:2" ht="12.5" x14ac:dyDescent="0.25">
      <c r="B567" s="9"/>
    </row>
    <row r="568" spans="2:2" ht="12.5" x14ac:dyDescent="0.25">
      <c r="B568" s="9"/>
    </row>
    <row r="569" spans="2:2" ht="12.5" x14ac:dyDescent="0.25">
      <c r="B569" s="9"/>
    </row>
    <row r="570" spans="2:2" ht="12.5" x14ac:dyDescent="0.25">
      <c r="B570" s="9"/>
    </row>
    <row r="571" spans="2:2" ht="12.5" x14ac:dyDescent="0.25">
      <c r="B571" s="9"/>
    </row>
    <row r="572" spans="2:2" ht="12.5" x14ac:dyDescent="0.25">
      <c r="B572" s="9"/>
    </row>
    <row r="573" spans="2:2" ht="12.5" x14ac:dyDescent="0.25">
      <c r="B573" s="9"/>
    </row>
    <row r="574" spans="2:2" ht="12.5" x14ac:dyDescent="0.25">
      <c r="B574" s="9"/>
    </row>
    <row r="575" spans="2:2" ht="12.5" x14ac:dyDescent="0.25">
      <c r="B575" s="9"/>
    </row>
    <row r="576" spans="2:2" ht="12.5" x14ac:dyDescent="0.25">
      <c r="B576" s="9"/>
    </row>
    <row r="577" spans="2:2" ht="12.5" x14ac:dyDescent="0.25">
      <c r="B577" s="9"/>
    </row>
    <row r="578" spans="2:2" ht="12.5" x14ac:dyDescent="0.25">
      <c r="B578" s="9"/>
    </row>
    <row r="579" spans="2:2" ht="12.5" x14ac:dyDescent="0.25">
      <c r="B579" s="9"/>
    </row>
    <row r="580" spans="2:2" ht="12.5" x14ac:dyDescent="0.25">
      <c r="B580" s="9"/>
    </row>
    <row r="581" spans="2:2" ht="12.5" x14ac:dyDescent="0.25">
      <c r="B581" s="9"/>
    </row>
    <row r="582" spans="2:2" ht="12.5" x14ac:dyDescent="0.25">
      <c r="B582" s="9"/>
    </row>
    <row r="583" spans="2:2" ht="12.5" x14ac:dyDescent="0.25">
      <c r="B583" s="9"/>
    </row>
    <row r="584" spans="2:2" ht="12.5" x14ac:dyDescent="0.25">
      <c r="B584" s="9"/>
    </row>
    <row r="585" spans="2:2" ht="12.5" x14ac:dyDescent="0.25">
      <c r="B585" s="9"/>
    </row>
    <row r="586" spans="2:2" ht="12.5" x14ac:dyDescent="0.25">
      <c r="B586" s="9"/>
    </row>
    <row r="587" spans="2:2" ht="12.5" x14ac:dyDescent="0.25">
      <c r="B587" s="9"/>
    </row>
    <row r="588" spans="2:2" ht="12.5" x14ac:dyDescent="0.25">
      <c r="B588" s="9"/>
    </row>
    <row r="589" spans="2:2" ht="12.5" x14ac:dyDescent="0.25">
      <c r="B589" s="9"/>
    </row>
    <row r="590" spans="2:2" ht="12.5" x14ac:dyDescent="0.25">
      <c r="B590" s="9"/>
    </row>
    <row r="591" spans="2:2" ht="12.5" x14ac:dyDescent="0.25">
      <c r="B591" s="9"/>
    </row>
    <row r="592" spans="2:2" ht="12.5" x14ac:dyDescent="0.25">
      <c r="B592" s="9"/>
    </row>
    <row r="593" spans="2:2" ht="12.5" x14ac:dyDescent="0.25">
      <c r="B593" s="9"/>
    </row>
    <row r="594" spans="2:2" ht="12.5" x14ac:dyDescent="0.25">
      <c r="B594" s="9"/>
    </row>
    <row r="595" spans="2:2" ht="12.5" x14ac:dyDescent="0.25">
      <c r="B595" s="9"/>
    </row>
    <row r="596" spans="2:2" ht="12.5" x14ac:dyDescent="0.25">
      <c r="B596" s="9"/>
    </row>
    <row r="597" spans="2:2" ht="12.5" x14ac:dyDescent="0.25">
      <c r="B597" s="9"/>
    </row>
    <row r="598" spans="2:2" ht="12.5" x14ac:dyDescent="0.25">
      <c r="B598" s="9"/>
    </row>
    <row r="599" spans="2:2" ht="12.5" x14ac:dyDescent="0.25">
      <c r="B599" s="9"/>
    </row>
    <row r="600" spans="2:2" ht="12.5" x14ac:dyDescent="0.25">
      <c r="B600" s="9"/>
    </row>
    <row r="601" spans="2:2" ht="12.5" x14ac:dyDescent="0.25">
      <c r="B601" s="9"/>
    </row>
    <row r="602" spans="2:2" ht="12.5" x14ac:dyDescent="0.25">
      <c r="B602" s="9"/>
    </row>
    <row r="603" spans="2:2" ht="12.5" x14ac:dyDescent="0.25">
      <c r="B603" s="9"/>
    </row>
    <row r="604" spans="2:2" ht="12.5" x14ac:dyDescent="0.25">
      <c r="B604" s="9"/>
    </row>
    <row r="605" spans="2:2" ht="12.5" x14ac:dyDescent="0.25">
      <c r="B605" s="9"/>
    </row>
    <row r="606" spans="2:2" ht="12.5" x14ac:dyDescent="0.25">
      <c r="B606" s="9"/>
    </row>
    <row r="607" spans="2:2" ht="12.5" x14ac:dyDescent="0.25">
      <c r="B607" s="9"/>
    </row>
    <row r="608" spans="2:2" ht="12.5" x14ac:dyDescent="0.25">
      <c r="B608" s="9"/>
    </row>
    <row r="609" spans="2:2" ht="12.5" x14ac:dyDescent="0.25">
      <c r="B609" s="9"/>
    </row>
    <row r="610" spans="2:2" ht="12.5" x14ac:dyDescent="0.25">
      <c r="B610" s="9"/>
    </row>
    <row r="611" spans="2:2" ht="12.5" x14ac:dyDescent="0.25">
      <c r="B611" s="9"/>
    </row>
    <row r="612" spans="2:2" ht="12.5" x14ac:dyDescent="0.25">
      <c r="B612" s="9"/>
    </row>
    <row r="613" spans="2:2" ht="12.5" x14ac:dyDescent="0.25">
      <c r="B613" s="9"/>
    </row>
    <row r="614" spans="2:2" ht="12.5" x14ac:dyDescent="0.25">
      <c r="B614" s="9"/>
    </row>
    <row r="615" spans="2:2" ht="12.5" x14ac:dyDescent="0.25">
      <c r="B615" s="9"/>
    </row>
    <row r="616" spans="2:2" ht="12.5" x14ac:dyDescent="0.25">
      <c r="B616" s="9"/>
    </row>
    <row r="617" spans="2:2" ht="12.5" x14ac:dyDescent="0.25">
      <c r="B617" s="9"/>
    </row>
    <row r="618" spans="2:2" ht="12.5" x14ac:dyDescent="0.25">
      <c r="B618" s="9"/>
    </row>
    <row r="619" spans="2:2" ht="12.5" x14ac:dyDescent="0.25">
      <c r="B619" s="9"/>
    </row>
    <row r="620" spans="2:2" ht="12.5" x14ac:dyDescent="0.25">
      <c r="B620" s="9"/>
    </row>
    <row r="621" spans="2:2" ht="12.5" x14ac:dyDescent="0.25">
      <c r="B621" s="9"/>
    </row>
    <row r="622" spans="2:2" ht="12.5" x14ac:dyDescent="0.25">
      <c r="B622" s="9"/>
    </row>
    <row r="623" spans="2:2" ht="12.5" x14ac:dyDescent="0.25">
      <c r="B623" s="9"/>
    </row>
    <row r="624" spans="2:2" ht="12.5" x14ac:dyDescent="0.25">
      <c r="B624" s="9"/>
    </row>
    <row r="625" spans="2:2" ht="12.5" x14ac:dyDescent="0.25">
      <c r="B625" s="9"/>
    </row>
    <row r="626" spans="2:2" ht="12.5" x14ac:dyDescent="0.25">
      <c r="B626" s="9"/>
    </row>
    <row r="627" spans="2:2" ht="12.5" x14ac:dyDescent="0.25">
      <c r="B627" s="9"/>
    </row>
    <row r="628" spans="2:2" ht="12.5" x14ac:dyDescent="0.25">
      <c r="B628" s="9"/>
    </row>
    <row r="629" spans="2:2" ht="12.5" x14ac:dyDescent="0.25">
      <c r="B629" s="9"/>
    </row>
    <row r="630" spans="2:2" ht="12.5" x14ac:dyDescent="0.25">
      <c r="B630" s="9"/>
    </row>
    <row r="631" spans="2:2" ht="12.5" x14ac:dyDescent="0.25">
      <c r="B631" s="9"/>
    </row>
    <row r="632" spans="2:2" ht="12.5" x14ac:dyDescent="0.25">
      <c r="B632" s="9"/>
    </row>
    <row r="633" spans="2:2" ht="12.5" x14ac:dyDescent="0.25">
      <c r="B633" s="9"/>
    </row>
    <row r="634" spans="2:2" ht="12.5" x14ac:dyDescent="0.25">
      <c r="B634" s="9"/>
    </row>
    <row r="635" spans="2:2" ht="12.5" x14ac:dyDescent="0.25">
      <c r="B635" s="9"/>
    </row>
    <row r="636" spans="2:2" ht="12.5" x14ac:dyDescent="0.25">
      <c r="B636" s="9"/>
    </row>
    <row r="637" spans="2:2" ht="12.5" x14ac:dyDescent="0.25">
      <c r="B637" s="9"/>
    </row>
    <row r="638" spans="2:2" ht="12.5" x14ac:dyDescent="0.25">
      <c r="B638" s="9"/>
    </row>
    <row r="639" spans="2:2" ht="12.5" x14ac:dyDescent="0.25">
      <c r="B639" s="9"/>
    </row>
    <row r="640" spans="2:2" ht="12.5" x14ac:dyDescent="0.25">
      <c r="B640" s="9"/>
    </row>
    <row r="641" spans="2:2" ht="12.5" x14ac:dyDescent="0.25">
      <c r="B641" s="9"/>
    </row>
    <row r="642" spans="2:2" ht="12.5" x14ac:dyDescent="0.25">
      <c r="B642" s="9"/>
    </row>
    <row r="643" spans="2:2" ht="12.5" x14ac:dyDescent="0.25">
      <c r="B643" s="9"/>
    </row>
    <row r="644" spans="2:2" ht="12.5" x14ac:dyDescent="0.25">
      <c r="B644" s="9"/>
    </row>
    <row r="645" spans="2:2" ht="12.5" x14ac:dyDescent="0.25">
      <c r="B645" s="9"/>
    </row>
    <row r="646" spans="2:2" ht="12.5" x14ac:dyDescent="0.25">
      <c r="B646" s="9"/>
    </row>
    <row r="647" spans="2:2" ht="12.5" x14ac:dyDescent="0.25">
      <c r="B647" s="9"/>
    </row>
    <row r="648" spans="2:2" ht="12.5" x14ac:dyDescent="0.25">
      <c r="B648" s="9"/>
    </row>
    <row r="649" spans="2:2" ht="12.5" x14ac:dyDescent="0.25">
      <c r="B649" s="9"/>
    </row>
    <row r="650" spans="2:2" ht="12.5" x14ac:dyDescent="0.25">
      <c r="B650" s="9"/>
    </row>
    <row r="651" spans="2:2" ht="12.5" x14ac:dyDescent="0.25">
      <c r="B651" s="9"/>
    </row>
    <row r="652" spans="2:2" ht="12.5" x14ac:dyDescent="0.25">
      <c r="B652" s="9"/>
    </row>
    <row r="653" spans="2:2" ht="12.5" x14ac:dyDescent="0.25">
      <c r="B653" s="9"/>
    </row>
    <row r="654" spans="2:2" ht="12.5" x14ac:dyDescent="0.25">
      <c r="B654" s="9"/>
    </row>
    <row r="655" spans="2:2" ht="12.5" x14ac:dyDescent="0.25">
      <c r="B655" s="9"/>
    </row>
    <row r="656" spans="2:2" ht="12.5" x14ac:dyDescent="0.25">
      <c r="B656" s="9"/>
    </row>
    <row r="657" spans="2:2" ht="12.5" x14ac:dyDescent="0.25">
      <c r="B657" s="9"/>
    </row>
    <row r="658" spans="2:2" ht="12.5" x14ac:dyDescent="0.25">
      <c r="B658" s="9"/>
    </row>
    <row r="659" spans="2:2" ht="12.5" x14ac:dyDescent="0.25">
      <c r="B659" s="9"/>
    </row>
    <row r="660" spans="2:2" ht="12.5" x14ac:dyDescent="0.25">
      <c r="B660" s="9"/>
    </row>
    <row r="661" spans="2:2" ht="12.5" x14ac:dyDescent="0.25">
      <c r="B661" s="9"/>
    </row>
    <row r="662" spans="2:2" ht="12.5" x14ac:dyDescent="0.25">
      <c r="B662" s="9"/>
    </row>
    <row r="663" spans="2:2" ht="12.5" x14ac:dyDescent="0.25">
      <c r="B663" s="9"/>
    </row>
    <row r="664" spans="2:2" ht="12.5" x14ac:dyDescent="0.25">
      <c r="B664" s="9"/>
    </row>
    <row r="665" spans="2:2" ht="12.5" x14ac:dyDescent="0.25">
      <c r="B665" s="9"/>
    </row>
    <row r="666" spans="2:2" ht="12.5" x14ac:dyDescent="0.25">
      <c r="B666" s="9"/>
    </row>
    <row r="667" spans="2:2" ht="12.5" x14ac:dyDescent="0.25">
      <c r="B667" s="9"/>
    </row>
    <row r="668" spans="2:2" ht="12.5" x14ac:dyDescent="0.25">
      <c r="B668" s="9"/>
    </row>
    <row r="669" spans="2:2" ht="12.5" x14ac:dyDescent="0.25">
      <c r="B669" s="9"/>
    </row>
    <row r="670" spans="2:2" ht="12.5" x14ac:dyDescent="0.25">
      <c r="B670" s="9"/>
    </row>
    <row r="671" spans="2:2" ht="12.5" x14ac:dyDescent="0.25">
      <c r="B671" s="9"/>
    </row>
    <row r="672" spans="2:2" ht="12.5" x14ac:dyDescent="0.25">
      <c r="B672" s="9"/>
    </row>
    <row r="673" spans="2:2" ht="12.5" x14ac:dyDescent="0.25">
      <c r="B673" s="9"/>
    </row>
    <row r="674" spans="2:2" ht="12.5" x14ac:dyDescent="0.25">
      <c r="B674" s="9"/>
    </row>
    <row r="675" spans="2:2" ht="12.5" x14ac:dyDescent="0.25">
      <c r="B675" s="9"/>
    </row>
    <row r="676" spans="2:2" ht="12.5" x14ac:dyDescent="0.25">
      <c r="B676" s="9"/>
    </row>
    <row r="677" spans="2:2" ht="12.5" x14ac:dyDescent="0.25">
      <c r="B677" s="9"/>
    </row>
    <row r="678" spans="2:2" ht="12.5" x14ac:dyDescent="0.25">
      <c r="B678" s="9"/>
    </row>
    <row r="679" spans="2:2" ht="12.5" x14ac:dyDescent="0.25">
      <c r="B679" s="9"/>
    </row>
    <row r="680" spans="2:2" ht="12.5" x14ac:dyDescent="0.25">
      <c r="B680" s="9"/>
    </row>
    <row r="681" spans="2:2" ht="12.5" x14ac:dyDescent="0.25">
      <c r="B681" s="9"/>
    </row>
    <row r="682" spans="2:2" ht="12.5" x14ac:dyDescent="0.25">
      <c r="B682" s="9"/>
    </row>
    <row r="683" spans="2:2" ht="12.5" x14ac:dyDescent="0.25">
      <c r="B683" s="9"/>
    </row>
    <row r="684" spans="2:2" ht="12.5" x14ac:dyDescent="0.25">
      <c r="B684" s="9"/>
    </row>
    <row r="685" spans="2:2" ht="12.5" x14ac:dyDescent="0.25">
      <c r="B685" s="9"/>
    </row>
    <row r="686" spans="2:2" ht="12.5" x14ac:dyDescent="0.25">
      <c r="B686" s="9"/>
    </row>
    <row r="687" spans="2:2" ht="12.5" x14ac:dyDescent="0.25">
      <c r="B687" s="9"/>
    </row>
    <row r="688" spans="2:2" ht="12.5" x14ac:dyDescent="0.25">
      <c r="B688" s="9"/>
    </row>
    <row r="689" spans="2:2" ht="12.5" x14ac:dyDescent="0.25">
      <c r="B689" s="9"/>
    </row>
    <row r="690" spans="2:2" ht="12.5" x14ac:dyDescent="0.25">
      <c r="B690" s="9"/>
    </row>
    <row r="691" spans="2:2" ht="12.5" x14ac:dyDescent="0.25">
      <c r="B691" s="9"/>
    </row>
    <row r="692" spans="2:2" ht="12.5" x14ac:dyDescent="0.25">
      <c r="B692" s="9"/>
    </row>
    <row r="693" spans="2:2" ht="12.5" x14ac:dyDescent="0.25">
      <c r="B693" s="9"/>
    </row>
    <row r="694" spans="2:2" ht="12.5" x14ac:dyDescent="0.25">
      <c r="B694" s="9"/>
    </row>
    <row r="695" spans="2:2" ht="12.5" x14ac:dyDescent="0.25">
      <c r="B695" s="9"/>
    </row>
    <row r="696" spans="2:2" ht="12.5" x14ac:dyDescent="0.25">
      <c r="B696" s="9"/>
    </row>
    <row r="697" spans="2:2" ht="12.5" x14ac:dyDescent="0.25">
      <c r="B697" s="9"/>
    </row>
    <row r="698" spans="2:2" ht="12.5" x14ac:dyDescent="0.25">
      <c r="B698" s="9"/>
    </row>
    <row r="699" spans="2:2" ht="12.5" x14ac:dyDescent="0.25">
      <c r="B699" s="9"/>
    </row>
    <row r="700" spans="2:2" ht="12.5" x14ac:dyDescent="0.25">
      <c r="B700" s="9"/>
    </row>
    <row r="701" spans="2:2" ht="12.5" x14ac:dyDescent="0.25">
      <c r="B701" s="9"/>
    </row>
    <row r="702" spans="2:2" ht="12.5" x14ac:dyDescent="0.25">
      <c r="B702" s="9"/>
    </row>
    <row r="703" spans="2:2" ht="12.5" x14ac:dyDescent="0.25">
      <c r="B703" s="9"/>
    </row>
    <row r="704" spans="2:2" ht="12.5" x14ac:dyDescent="0.25">
      <c r="B704" s="9"/>
    </row>
    <row r="705" spans="2:2" ht="12.5" x14ac:dyDescent="0.25">
      <c r="B705" s="9"/>
    </row>
    <row r="706" spans="2:2" ht="12.5" x14ac:dyDescent="0.25">
      <c r="B706" s="9"/>
    </row>
    <row r="707" spans="2:2" ht="12.5" x14ac:dyDescent="0.25">
      <c r="B707" s="9"/>
    </row>
    <row r="708" spans="2:2" ht="12.5" x14ac:dyDescent="0.25">
      <c r="B708" s="9"/>
    </row>
    <row r="709" spans="2:2" ht="12.5" x14ac:dyDescent="0.25">
      <c r="B709" s="9"/>
    </row>
    <row r="710" spans="2:2" ht="12.5" x14ac:dyDescent="0.25">
      <c r="B710" s="9"/>
    </row>
    <row r="711" spans="2:2" ht="12.5" x14ac:dyDescent="0.25">
      <c r="B711" s="9"/>
    </row>
    <row r="712" spans="2:2" ht="12.5" x14ac:dyDescent="0.25">
      <c r="B712" s="9"/>
    </row>
    <row r="713" spans="2:2" ht="12.5" x14ac:dyDescent="0.25">
      <c r="B713" s="9"/>
    </row>
    <row r="714" spans="2:2" ht="12.5" x14ac:dyDescent="0.25">
      <c r="B714" s="9"/>
    </row>
    <row r="715" spans="2:2" ht="12.5" x14ac:dyDescent="0.25">
      <c r="B715" s="9"/>
    </row>
    <row r="716" spans="2:2" ht="12.5" x14ac:dyDescent="0.25">
      <c r="B716" s="9"/>
    </row>
    <row r="717" spans="2:2" ht="12.5" x14ac:dyDescent="0.25">
      <c r="B717" s="9"/>
    </row>
    <row r="718" spans="2:2" ht="12.5" x14ac:dyDescent="0.25">
      <c r="B718" s="9"/>
    </row>
    <row r="719" spans="2:2" ht="12.5" x14ac:dyDescent="0.25">
      <c r="B719" s="9"/>
    </row>
    <row r="720" spans="2:2" ht="12.5" x14ac:dyDescent="0.25">
      <c r="B720" s="9"/>
    </row>
    <row r="721" spans="2:2" ht="12.5" x14ac:dyDescent="0.25">
      <c r="B721" s="9"/>
    </row>
    <row r="722" spans="2:2" ht="12.5" x14ac:dyDescent="0.25">
      <c r="B722" s="9"/>
    </row>
    <row r="723" spans="2:2" ht="12.5" x14ac:dyDescent="0.25">
      <c r="B723" s="9"/>
    </row>
    <row r="724" spans="2:2" ht="12.5" x14ac:dyDescent="0.25">
      <c r="B724" s="9"/>
    </row>
    <row r="725" spans="2:2" ht="12.5" x14ac:dyDescent="0.25">
      <c r="B725" s="9"/>
    </row>
    <row r="726" spans="2:2" ht="12.5" x14ac:dyDescent="0.25">
      <c r="B726" s="9"/>
    </row>
    <row r="727" spans="2:2" ht="12.5" x14ac:dyDescent="0.25">
      <c r="B727" s="9"/>
    </row>
    <row r="728" spans="2:2" ht="12.5" x14ac:dyDescent="0.25">
      <c r="B728" s="9"/>
    </row>
    <row r="729" spans="2:2" ht="12.5" x14ac:dyDescent="0.25">
      <c r="B729" s="9"/>
    </row>
    <row r="730" spans="2:2" ht="12.5" x14ac:dyDescent="0.25">
      <c r="B730" s="9"/>
    </row>
    <row r="731" spans="2:2" ht="12.5" x14ac:dyDescent="0.25">
      <c r="B731" s="9"/>
    </row>
    <row r="732" spans="2:2" ht="12.5" x14ac:dyDescent="0.25">
      <c r="B732" s="9"/>
    </row>
    <row r="733" spans="2:2" ht="12.5" x14ac:dyDescent="0.25">
      <c r="B733" s="9"/>
    </row>
    <row r="734" spans="2:2" ht="12.5" x14ac:dyDescent="0.25">
      <c r="B734" s="9"/>
    </row>
    <row r="735" spans="2:2" ht="12.5" x14ac:dyDescent="0.25">
      <c r="B735" s="9"/>
    </row>
    <row r="736" spans="2:2" ht="12.5" x14ac:dyDescent="0.25">
      <c r="B736" s="9"/>
    </row>
    <row r="737" spans="2:2" ht="12.5" x14ac:dyDescent="0.25">
      <c r="B737" s="9"/>
    </row>
    <row r="738" spans="2:2" ht="12.5" x14ac:dyDescent="0.25">
      <c r="B738" s="9"/>
    </row>
    <row r="739" spans="2:2" ht="12.5" x14ac:dyDescent="0.25">
      <c r="B739" s="9"/>
    </row>
    <row r="740" spans="2:2" ht="12.5" x14ac:dyDescent="0.25">
      <c r="B740" s="9"/>
    </row>
    <row r="741" spans="2:2" ht="12.5" x14ac:dyDescent="0.25">
      <c r="B741" s="9"/>
    </row>
    <row r="742" spans="2:2" ht="12.5" x14ac:dyDescent="0.25">
      <c r="B742" s="9"/>
    </row>
    <row r="743" spans="2:2" ht="12.5" x14ac:dyDescent="0.25">
      <c r="B743" s="9"/>
    </row>
    <row r="744" spans="2:2" ht="12.5" x14ac:dyDescent="0.25">
      <c r="B744" s="9"/>
    </row>
    <row r="745" spans="2:2" ht="12.5" x14ac:dyDescent="0.25">
      <c r="B745" s="9"/>
    </row>
    <row r="746" spans="2:2" ht="12.5" x14ac:dyDescent="0.25">
      <c r="B746" s="9"/>
    </row>
    <row r="747" spans="2:2" ht="12.5" x14ac:dyDescent="0.25">
      <c r="B747" s="9"/>
    </row>
    <row r="748" spans="2:2" ht="12.5" x14ac:dyDescent="0.25">
      <c r="B748" s="9"/>
    </row>
    <row r="749" spans="2:2" ht="12.5" x14ac:dyDescent="0.25">
      <c r="B749" s="9"/>
    </row>
    <row r="750" spans="2:2" ht="12.5" x14ac:dyDescent="0.25">
      <c r="B750" s="9"/>
    </row>
    <row r="751" spans="2:2" ht="12.5" x14ac:dyDescent="0.25">
      <c r="B751" s="9"/>
    </row>
    <row r="752" spans="2:2" ht="12.5" x14ac:dyDescent="0.25">
      <c r="B752" s="9"/>
    </row>
    <row r="753" spans="2:2" ht="12.5" x14ac:dyDescent="0.25">
      <c r="B753" s="9"/>
    </row>
    <row r="754" spans="2:2" ht="12.5" x14ac:dyDescent="0.25">
      <c r="B754" s="9"/>
    </row>
    <row r="755" spans="2:2" ht="12.5" x14ac:dyDescent="0.25">
      <c r="B755" s="9"/>
    </row>
    <row r="756" spans="2:2" ht="12.5" x14ac:dyDescent="0.25">
      <c r="B756" s="9"/>
    </row>
    <row r="757" spans="2:2" ht="12.5" x14ac:dyDescent="0.25">
      <c r="B757" s="9"/>
    </row>
    <row r="758" spans="2:2" ht="12.5" x14ac:dyDescent="0.25">
      <c r="B758" s="9"/>
    </row>
    <row r="759" spans="2:2" ht="12.5" x14ac:dyDescent="0.25">
      <c r="B759" s="9"/>
    </row>
    <row r="760" spans="2:2" ht="12.5" x14ac:dyDescent="0.25">
      <c r="B760" s="9"/>
    </row>
    <row r="761" spans="2:2" ht="12.5" x14ac:dyDescent="0.25">
      <c r="B761" s="9"/>
    </row>
    <row r="762" spans="2:2" ht="12.5" x14ac:dyDescent="0.25">
      <c r="B762" s="9"/>
    </row>
    <row r="763" spans="2:2" ht="12.5" x14ac:dyDescent="0.25">
      <c r="B763" s="9"/>
    </row>
    <row r="764" spans="2:2" ht="12.5" x14ac:dyDescent="0.25">
      <c r="B764" s="9"/>
    </row>
    <row r="765" spans="2:2" ht="12.5" x14ac:dyDescent="0.25">
      <c r="B765" s="9"/>
    </row>
    <row r="766" spans="2:2" ht="12.5" x14ac:dyDescent="0.25">
      <c r="B766" s="9"/>
    </row>
    <row r="767" spans="2:2" ht="12.5" x14ac:dyDescent="0.25">
      <c r="B767" s="9"/>
    </row>
    <row r="768" spans="2:2" ht="12.5" x14ac:dyDescent="0.25">
      <c r="B768" s="9"/>
    </row>
    <row r="769" spans="2:2" ht="12.5" x14ac:dyDescent="0.25">
      <c r="B769" s="9"/>
    </row>
    <row r="770" spans="2:2" ht="12.5" x14ac:dyDescent="0.25">
      <c r="B770" s="9"/>
    </row>
    <row r="771" spans="2:2" ht="12.5" x14ac:dyDescent="0.25">
      <c r="B771" s="9"/>
    </row>
    <row r="772" spans="2:2" ht="12.5" x14ac:dyDescent="0.25">
      <c r="B772" s="9"/>
    </row>
    <row r="773" spans="2:2" ht="12.5" x14ac:dyDescent="0.25">
      <c r="B773" s="9"/>
    </row>
    <row r="774" spans="2:2" ht="12.5" x14ac:dyDescent="0.25">
      <c r="B774" s="9"/>
    </row>
    <row r="775" spans="2:2" ht="12.5" x14ac:dyDescent="0.25">
      <c r="B775" s="9"/>
    </row>
    <row r="776" spans="2:2" ht="12.5" x14ac:dyDescent="0.25">
      <c r="B776" s="9"/>
    </row>
    <row r="777" spans="2:2" ht="12.5" x14ac:dyDescent="0.25">
      <c r="B777" s="9"/>
    </row>
    <row r="778" spans="2:2" ht="12.5" x14ac:dyDescent="0.25">
      <c r="B778" s="9"/>
    </row>
    <row r="779" spans="2:2" ht="12.5" x14ac:dyDescent="0.25">
      <c r="B779" s="9"/>
    </row>
    <row r="780" spans="2:2" ht="12.5" x14ac:dyDescent="0.25">
      <c r="B780" s="9"/>
    </row>
    <row r="781" spans="2:2" ht="12.5" x14ac:dyDescent="0.25">
      <c r="B781" s="9"/>
    </row>
    <row r="782" spans="2:2" ht="12.5" x14ac:dyDescent="0.25">
      <c r="B782" s="9"/>
    </row>
    <row r="783" spans="2:2" ht="12.5" x14ac:dyDescent="0.25">
      <c r="B783" s="9"/>
    </row>
    <row r="784" spans="2:2" ht="12.5" x14ac:dyDescent="0.25">
      <c r="B784" s="9"/>
    </row>
    <row r="785" spans="2:2" ht="12.5" x14ac:dyDescent="0.25">
      <c r="B785" s="9"/>
    </row>
    <row r="786" spans="2:2" ht="12.5" x14ac:dyDescent="0.25">
      <c r="B786" s="9"/>
    </row>
    <row r="787" spans="2:2" ht="12.5" x14ac:dyDescent="0.25">
      <c r="B787" s="9"/>
    </row>
    <row r="788" spans="2:2" ht="12.5" x14ac:dyDescent="0.25">
      <c r="B788" s="9"/>
    </row>
    <row r="789" spans="2:2" ht="12.5" x14ac:dyDescent="0.25">
      <c r="B789" s="9"/>
    </row>
    <row r="790" spans="2:2" ht="12.5" x14ac:dyDescent="0.25">
      <c r="B790" s="9"/>
    </row>
    <row r="791" spans="2:2" ht="12.5" x14ac:dyDescent="0.25">
      <c r="B791" s="9"/>
    </row>
    <row r="792" spans="2:2" ht="12.5" x14ac:dyDescent="0.25">
      <c r="B792" s="9"/>
    </row>
    <row r="793" spans="2:2" ht="12.5" x14ac:dyDescent="0.25">
      <c r="B793" s="9"/>
    </row>
    <row r="794" spans="2:2" ht="12.5" x14ac:dyDescent="0.25">
      <c r="B794" s="9"/>
    </row>
    <row r="795" spans="2:2" ht="12.5" x14ac:dyDescent="0.25">
      <c r="B795" s="9"/>
    </row>
    <row r="796" spans="2:2" ht="12.5" x14ac:dyDescent="0.25">
      <c r="B796" s="9"/>
    </row>
    <row r="797" spans="2:2" ht="12.5" x14ac:dyDescent="0.25">
      <c r="B797" s="9"/>
    </row>
    <row r="798" spans="2:2" ht="12.5" x14ac:dyDescent="0.25">
      <c r="B798" s="9"/>
    </row>
    <row r="799" spans="2:2" ht="12.5" x14ac:dyDescent="0.25">
      <c r="B799" s="9"/>
    </row>
    <row r="800" spans="2:2" ht="12.5" x14ac:dyDescent="0.25">
      <c r="B800" s="9"/>
    </row>
    <row r="801" spans="2:2" ht="12.5" x14ac:dyDescent="0.25">
      <c r="B801" s="9"/>
    </row>
    <row r="802" spans="2:2" ht="12.5" x14ac:dyDescent="0.25">
      <c r="B802" s="9"/>
    </row>
    <row r="803" spans="2:2" ht="12.5" x14ac:dyDescent="0.25">
      <c r="B803" s="9"/>
    </row>
    <row r="804" spans="2:2" ht="12.5" x14ac:dyDescent="0.25">
      <c r="B804" s="9"/>
    </row>
    <row r="805" spans="2:2" ht="12.5" x14ac:dyDescent="0.25">
      <c r="B805" s="9"/>
    </row>
    <row r="806" spans="2:2" ht="12.5" x14ac:dyDescent="0.25">
      <c r="B806" s="9"/>
    </row>
    <row r="807" spans="2:2" ht="12.5" x14ac:dyDescent="0.25">
      <c r="B807" s="9"/>
    </row>
    <row r="808" spans="2:2" ht="12.5" x14ac:dyDescent="0.25">
      <c r="B808" s="9"/>
    </row>
    <row r="809" spans="2:2" ht="12.5" x14ac:dyDescent="0.25">
      <c r="B809" s="9"/>
    </row>
    <row r="810" spans="2:2" ht="12.5" x14ac:dyDescent="0.25">
      <c r="B810" s="9"/>
    </row>
    <row r="811" spans="2:2" ht="12.5" x14ac:dyDescent="0.25">
      <c r="B811" s="9"/>
    </row>
    <row r="812" spans="2:2" ht="12.5" x14ac:dyDescent="0.25">
      <c r="B812" s="9"/>
    </row>
    <row r="813" spans="2:2" ht="12.5" x14ac:dyDescent="0.25">
      <c r="B813" s="9"/>
    </row>
    <row r="814" spans="2:2" ht="12.5" x14ac:dyDescent="0.25">
      <c r="B814" s="9"/>
    </row>
    <row r="815" spans="2:2" ht="12.5" x14ac:dyDescent="0.25">
      <c r="B815" s="9"/>
    </row>
    <row r="816" spans="2:2" ht="12.5" x14ac:dyDescent="0.25">
      <c r="B816" s="9"/>
    </row>
    <row r="817" spans="2:2" ht="12.5" x14ac:dyDescent="0.25">
      <c r="B817" s="9"/>
    </row>
    <row r="818" spans="2:2" ht="12.5" x14ac:dyDescent="0.25">
      <c r="B818" s="9"/>
    </row>
    <row r="819" spans="2:2" ht="12.5" x14ac:dyDescent="0.25">
      <c r="B819" s="9"/>
    </row>
    <row r="820" spans="2:2" ht="12.5" x14ac:dyDescent="0.25">
      <c r="B820" s="9"/>
    </row>
    <row r="821" spans="2:2" ht="12.5" x14ac:dyDescent="0.25">
      <c r="B821" s="9"/>
    </row>
    <row r="822" spans="2:2" ht="12.5" x14ac:dyDescent="0.25">
      <c r="B822" s="9"/>
    </row>
    <row r="823" spans="2:2" ht="12.5" x14ac:dyDescent="0.25">
      <c r="B823" s="9"/>
    </row>
    <row r="824" spans="2:2" ht="12.5" x14ac:dyDescent="0.25">
      <c r="B824" s="9"/>
    </row>
    <row r="825" spans="2:2" ht="12.5" x14ac:dyDescent="0.25">
      <c r="B825" s="9"/>
    </row>
    <row r="826" spans="2:2" ht="12.5" x14ac:dyDescent="0.25">
      <c r="B826" s="9"/>
    </row>
    <row r="827" spans="2:2" ht="12.5" x14ac:dyDescent="0.25">
      <c r="B827" s="9"/>
    </row>
    <row r="828" spans="2:2" ht="12.5" x14ac:dyDescent="0.25">
      <c r="B828" s="9"/>
    </row>
    <row r="829" spans="2:2" ht="12.5" x14ac:dyDescent="0.25">
      <c r="B829" s="9"/>
    </row>
    <row r="830" spans="2:2" ht="12.5" x14ac:dyDescent="0.25">
      <c r="B830" s="9"/>
    </row>
    <row r="831" spans="2:2" ht="12.5" x14ac:dyDescent="0.25">
      <c r="B831" s="9"/>
    </row>
    <row r="832" spans="2:2" ht="12.5" x14ac:dyDescent="0.25">
      <c r="B832" s="9"/>
    </row>
    <row r="833" spans="2:2" ht="12.5" x14ac:dyDescent="0.25">
      <c r="B833" s="9"/>
    </row>
    <row r="834" spans="2:2" ht="12.5" x14ac:dyDescent="0.25">
      <c r="B834" s="9"/>
    </row>
    <row r="835" spans="2:2" ht="12.5" x14ac:dyDescent="0.25">
      <c r="B835" s="9"/>
    </row>
    <row r="836" spans="2:2" ht="12.5" x14ac:dyDescent="0.25">
      <c r="B836" s="9"/>
    </row>
    <row r="837" spans="2:2" ht="12.5" x14ac:dyDescent="0.25">
      <c r="B837" s="9"/>
    </row>
    <row r="838" spans="2:2" ht="12.5" x14ac:dyDescent="0.25">
      <c r="B838" s="9"/>
    </row>
    <row r="839" spans="2:2" ht="12.5" x14ac:dyDescent="0.25">
      <c r="B839" s="9"/>
    </row>
    <row r="840" spans="2:2" ht="12.5" x14ac:dyDescent="0.25">
      <c r="B840" s="9"/>
    </row>
    <row r="841" spans="2:2" ht="12.5" x14ac:dyDescent="0.25">
      <c r="B841" s="9"/>
    </row>
    <row r="842" spans="2:2" ht="12.5" x14ac:dyDescent="0.25">
      <c r="B842" s="9"/>
    </row>
    <row r="843" spans="2:2" ht="12.5" x14ac:dyDescent="0.25">
      <c r="B843" s="9"/>
    </row>
    <row r="844" spans="2:2" ht="12.5" x14ac:dyDescent="0.25">
      <c r="B844" s="9"/>
    </row>
    <row r="845" spans="2:2" ht="12.5" x14ac:dyDescent="0.25">
      <c r="B845" s="9"/>
    </row>
    <row r="846" spans="2:2" ht="12.5" x14ac:dyDescent="0.25">
      <c r="B846" s="9"/>
    </row>
    <row r="847" spans="2:2" ht="12.5" x14ac:dyDescent="0.25">
      <c r="B847" s="9"/>
    </row>
    <row r="848" spans="2:2" ht="12.5" x14ac:dyDescent="0.25">
      <c r="B848" s="9"/>
    </row>
    <row r="849" spans="2:2" ht="12.5" x14ac:dyDescent="0.25">
      <c r="B849" s="9"/>
    </row>
    <row r="850" spans="2:2" ht="12.5" x14ac:dyDescent="0.25">
      <c r="B850" s="9"/>
    </row>
    <row r="851" spans="2:2" ht="12.5" x14ac:dyDescent="0.25">
      <c r="B851" s="9"/>
    </row>
    <row r="852" spans="2:2" ht="12.5" x14ac:dyDescent="0.25">
      <c r="B852" s="9"/>
    </row>
    <row r="853" spans="2:2" ht="12.5" x14ac:dyDescent="0.25">
      <c r="B853" s="9"/>
    </row>
    <row r="854" spans="2:2" ht="12.5" x14ac:dyDescent="0.25">
      <c r="B854" s="9"/>
    </row>
    <row r="855" spans="2:2" ht="12.5" x14ac:dyDescent="0.25">
      <c r="B855" s="9"/>
    </row>
    <row r="856" spans="2:2" ht="12.5" x14ac:dyDescent="0.25">
      <c r="B856" s="9"/>
    </row>
    <row r="857" spans="2:2" ht="12.5" x14ac:dyDescent="0.25">
      <c r="B857" s="9"/>
    </row>
    <row r="858" spans="2:2" ht="12.5" x14ac:dyDescent="0.25">
      <c r="B858" s="9"/>
    </row>
    <row r="859" spans="2:2" ht="12.5" x14ac:dyDescent="0.25">
      <c r="B859" s="9"/>
    </row>
    <row r="860" spans="2:2" ht="12.5" x14ac:dyDescent="0.25">
      <c r="B860" s="9"/>
    </row>
    <row r="861" spans="2:2" ht="12.5" x14ac:dyDescent="0.25">
      <c r="B861" s="9"/>
    </row>
    <row r="862" spans="2:2" ht="12.5" x14ac:dyDescent="0.25">
      <c r="B862" s="9"/>
    </row>
    <row r="863" spans="2:2" ht="12.5" x14ac:dyDescent="0.25">
      <c r="B863" s="9"/>
    </row>
    <row r="864" spans="2:2" ht="12.5" x14ac:dyDescent="0.25">
      <c r="B864" s="9"/>
    </row>
    <row r="865" spans="2:2" ht="12.5" x14ac:dyDescent="0.25">
      <c r="B865" s="9"/>
    </row>
    <row r="866" spans="2:2" ht="12.5" x14ac:dyDescent="0.25">
      <c r="B866" s="9"/>
    </row>
    <row r="867" spans="2:2" ht="12.5" x14ac:dyDescent="0.25">
      <c r="B867" s="9"/>
    </row>
    <row r="868" spans="2:2" ht="12.5" x14ac:dyDescent="0.25">
      <c r="B868" s="9"/>
    </row>
    <row r="869" spans="2:2" ht="12.5" x14ac:dyDescent="0.25">
      <c r="B869" s="9"/>
    </row>
    <row r="870" spans="2:2" ht="12.5" x14ac:dyDescent="0.25">
      <c r="B870" s="9"/>
    </row>
    <row r="871" spans="2:2" ht="12.5" x14ac:dyDescent="0.25">
      <c r="B871" s="9"/>
    </row>
    <row r="872" spans="2:2" ht="12.5" x14ac:dyDescent="0.25">
      <c r="B872" s="9"/>
    </row>
    <row r="873" spans="2:2" ht="12.5" x14ac:dyDescent="0.25">
      <c r="B873" s="9"/>
    </row>
    <row r="874" spans="2:2" ht="12.5" x14ac:dyDescent="0.25">
      <c r="B874" s="9"/>
    </row>
    <row r="875" spans="2:2" ht="12.5" x14ac:dyDescent="0.25">
      <c r="B875" s="9"/>
    </row>
    <row r="876" spans="2:2" ht="12.5" x14ac:dyDescent="0.25">
      <c r="B876" s="9"/>
    </row>
    <row r="877" spans="2:2" ht="12.5" x14ac:dyDescent="0.25">
      <c r="B877" s="9"/>
    </row>
    <row r="878" spans="2:2" ht="12.5" x14ac:dyDescent="0.25">
      <c r="B878" s="9"/>
    </row>
    <row r="879" spans="2:2" ht="12.5" x14ac:dyDescent="0.25">
      <c r="B879" s="9"/>
    </row>
    <row r="880" spans="2:2" ht="12.5" x14ac:dyDescent="0.25">
      <c r="B880" s="9"/>
    </row>
    <row r="881" spans="2:2" ht="12.5" x14ac:dyDescent="0.25">
      <c r="B881" s="9"/>
    </row>
    <row r="882" spans="2:2" ht="12.5" x14ac:dyDescent="0.25">
      <c r="B882" s="9"/>
    </row>
    <row r="883" spans="2:2" ht="12.5" x14ac:dyDescent="0.25">
      <c r="B883" s="9"/>
    </row>
    <row r="884" spans="2:2" ht="12.5" x14ac:dyDescent="0.25">
      <c r="B884" s="9"/>
    </row>
    <row r="885" spans="2:2" ht="12.5" x14ac:dyDescent="0.25">
      <c r="B885" s="9"/>
    </row>
    <row r="886" spans="2:2" ht="12.5" x14ac:dyDescent="0.25">
      <c r="B886" s="9"/>
    </row>
    <row r="887" spans="2:2" ht="12.5" x14ac:dyDescent="0.25">
      <c r="B887" s="9"/>
    </row>
    <row r="888" spans="2:2" ht="12.5" x14ac:dyDescent="0.25">
      <c r="B888" s="9"/>
    </row>
    <row r="889" spans="2:2" ht="12.5" x14ac:dyDescent="0.25">
      <c r="B889" s="9"/>
    </row>
    <row r="890" spans="2:2" ht="12.5" x14ac:dyDescent="0.25">
      <c r="B890" s="9"/>
    </row>
    <row r="891" spans="2:2" ht="12.5" x14ac:dyDescent="0.25">
      <c r="B891" s="9"/>
    </row>
    <row r="892" spans="2:2" ht="12.5" x14ac:dyDescent="0.25">
      <c r="B892" s="9"/>
    </row>
    <row r="893" spans="2:2" ht="12.5" x14ac:dyDescent="0.25">
      <c r="B893" s="9"/>
    </row>
    <row r="894" spans="2:2" ht="12.5" x14ac:dyDescent="0.25">
      <c r="B894" s="9"/>
    </row>
    <row r="895" spans="2:2" ht="12.5" x14ac:dyDescent="0.25">
      <c r="B895" s="9"/>
    </row>
    <row r="896" spans="2:2" ht="12.5" x14ac:dyDescent="0.25">
      <c r="B896" s="9"/>
    </row>
    <row r="897" spans="2:2" ht="12.5" x14ac:dyDescent="0.25">
      <c r="B897" s="9"/>
    </row>
    <row r="898" spans="2:2" ht="12.5" x14ac:dyDescent="0.25">
      <c r="B898" s="9"/>
    </row>
    <row r="899" spans="2:2" ht="12.5" x14ac:dyDescent="0.25">
      <c r="B899" s="9"/>
    </row>
    <row r="900" spans="2:2" ht="12.5" x14ac:dyDescent="0.25">
      <c r="B900" s="9"/>
    </row>
    <row r="901" spans="2:2" ht="12.5" x14ac:dyDescent="0.25">
      <c r="B901" s="9"/>
    </row>
    <row r="902" spans="2:2" ht="12.5" x14ac:dyDescent="0.25">
      <c r="B902" s="9"/>
    </row>
    <row r="903" spans="2:2" ht="12.5" x14ac:dyDescent="0.25">
      <c r="B903" s="9"/>
    </row>
    <row r="904" spans="2:2" ht="12.5" x14ac:dyDescent="0.25">
      <c r="B904" s="9"/>
    </row>
    <row r="905" spans="2:2" ht="12.5" x14ac:dyDescent="0.25">
      <c r="B905" s="9"/>
    </row>
    <row r="906" spans="2:2" ht="12.5" x14ac:dyDescent="0.25">
      <c r="B906" s="9"/>
    </row>
    <row r="907" spans="2:2" ht="12.5" x14ac:dyDescent="0.25">
      <c r="B907" s="9"/>
    </row>
    <row r="908" spans="2:2" ht="12.5" x14ac:dyDescent="0.25">
      <c r="B908" s="9"/>
    </row>
    <row r="909" spans="2:2" ht="12.5" x14ac:dyDescent="0.25">
      <c r="B909" s="9"/>
    </row>
    <row r="910" spans="2:2" ht="12.5" x14ac:dyDescent="0.25">
      <c r="B910" s="9"/>
    </row>
    <row r="911" spans="2:2" ht="12.5" x14ac:dyDescent="0.25">
      <c r="B911" s="9"/>
    </row>
    <row r="912" spans="2:2" ht="12.5" x14ac:dyDescent="0.25">
      <c r="B912" s="9"/>
    </row>
    <row r="913" spans="2:2" ht="12.5" x14ac:dyDescent="0.25">
      <c r="B913" s="9"/>
    </row>
    <row r="914" spans="2:2" ht="12.5" x14ac:dyDescent="0.25">
      <c r="B914" s="9"/>
    </row>
    <row r="915" spans="2:2" ht="12.5" x14ac:dyDescent="0.25">
      <c r="B915" s="9"/>
    </row>
    <row r="916" spans="2:2" ht="12.5" x14ac:dyDescent="0.25">
      <c r="B916" s="9"/>
    </row>
    <row r="917" spans="2:2" ht="12.5" x14ac:dyDescent="0.25">
      <c r="B917" s="9"/>
    </row>
    <row r="918" spans="2:2" ht="12.5" x14ac:dyDescent="0.25">
      <c r="B918" s="9"/>
    </row>
    <row r="919" spans="2:2" ht="12.5" x14ac:dyDescent="0.25">
      <c r="B919" s="9"/>
    </row>
    <row r="920" spans="2:2" ht="12.5" x14ac:dyDescent="0.25">
      <c r="B920" s="9"/>
    </row>
    <row r="921" spans="2:2" ht="12.5" x14ac:dyDescent="0.25">
      <c r="B921" s="9"/>
    </row>
    <row r="922" spans="2:2" ht="12.5" x14ac:dyDescent="0.25">
      <c r="B922" s="9"/>
    </row>
    <row r="923" spans="2:2" ht="12.5" x14ac:dyDescent="0.25">
      <c r="B923" s="9"/>
    </row>
    <row r="924" spans="2:2" ht="12.5" x14ac:dyDescent="0.25">
      <c r="B924" s="9"/>
    </row>
    <row r="925" spans="2:2" ht="12.5" x14ac:dyDescent="0.25">
      <c r="B925" s="9"/>
    </row>
    <row r="926" spans="2:2" ht="12.5" x14ac:dyDescent="0.25">
      <c r="B926" s="9"/>
    </row>
    <row r="927" spans="2:2" ht="12.5" x14ac:dyDescent="0.25">
      <c r="B927" s="9"/>
    </row>
    <row r="928" spans="2:2" ht="12.5" x14ac:dyDescent="0.25">
      <c r="B928" s="9"/>
    </row>
    <row r="929" spans="2:2" ht="12.5" x14ac:dyDescent="0.25">
      <c r="B929" s="9"/>
    </row>
    <row r="930" spans="2:2" ht="12.5" x14ac:dyDescent="0.25">
      <c r="B930" s="9"/>
    </row>
    <row r="931" spans="2:2" ht="12.5" x14ac:dyDescent="0.25">
      <c r="B931" s="9"/>
    </row>
    <row r="932" spans="2:2" ht="12.5" x14ac:dyDescent="0.25">
      <c r="B932" s="9"/>
    </row>
    <row r="933" spans="2:2" ht="12.5" x14ac:dyDescent="0.25">
      <c r="B933" s="9"/>
    </row>
    <row r="934" spans="2:2" ht="12.5" x14ac:dyDescent="0.25">
      <c r="B934" s="9"/>
    </row>
    <row r="935" spans="2:2" ht="12.5" x14ac:dyDescent="0.25">
      <c r="B935" s="9"/>
    </row>
    <row r="936" spans="2:2" ht="12.5" x14ac:dyDescent="0.25">
      <c r="B936" s="9"/>
    </row>
    <row r="937" spans="2:2" ht="12.5" x14ac:dyDescent="0.25">
      <c r="B937" s="9"/>
    </row>
    <row r="938" spans="2:2" ht="12.5" x14ac:dyDescent="0.25">
      <c r="B938" s="9"/>
    </row>
    <row r="939" spans="2:2" ht="12.5" x14ac:dyDescent="0.25">
      <c r="B939" s="9"/>
    </row>
    <row r="940" spans="2:2" ht="12.5" x14ac:dyDescent="0.25">
      <c r="B940" s="9"/>
    </row>
    <row r="941" spans="2:2" ht="12.5" x14ac:dyDescent="0.25">
      <c r="B941" s="9"/>
    </row>
    <row r="942" spans="2:2" ht="12.5" x14ac:dyDescent="0.25">
      <c r="B942" s="9"/>
    </row>
    <row r="943" spans="2:2" ht="12.5" x14ac:dyDescent="0.25">
      <c r="B943" s="9"/>
    </row>
    <row r="944" spans="2:2" ht="12.5" x14ac:dyDescent="0.25">
      <c r="B944" s="9"/>
    </row>
    <row r="945" spans="2:2" ht="12.5" x14ac:dyDescent="0.25">
      <c r="B945" s="9"/>
    </row>
    <row r="946" spans="2:2" ht="12.5" x14ac:dyDescent="0.25">
      <c r="B946" s="9"/>
    </row>
    <row r="947" spans="2:2" ht="12.5" x14ac:dyDescent="0.25">
      <c r="B947" s="9"/>
    </row>
    <row r="948" spans="2:2" ht="12.5" x14ac:dyDescent="0.25">
      <c r="B948" s="9"/>
    </row>
    <row r="949" spans="2:2" ht="12.5" x14ac:dyDescent="0.25">
      <c r="B949" s="9"/>
    </row>
    <row r="950" spans="2:2" ht="12.5" x14ac:dyDescent="0.25">
      <c r="B950" s="9"/>
    </row>
    <row r="951" spans="2:2" ht="12.5" x14ac:dyDescent="0.25">
      <c r="B951" s="9"/>
    </row>
    <row r="952" spans="2:2" ht="12.5" x14ac:dyDescent="0.25">
      <c r="B952" s="9"/>
    </row>
    <row r="953" spans="2:2" ht="12.5" x14ac:dyDescent="0.25">
      <c r="B953" s="9"/>
    </row>
    <row r="954" spans="2:2" ht="12.5" x14ac:dyDescent="0.25">
      <c r="B954" s="9"/>
    </row>
    <row r="955" spans="2:2" ht="12.5" x14ac:dyDescent="0.25">
      <c r="B955" s="9"/>
    </row>
    <row r="956" spans="2:2" ht="12.5" x14ac:dyDescent="0.25">
      <c r="B956" s="9"/>
    </row>
    <row r="957" spans="2:2" ht="12.5" x14ac:dyDescent="0.25">
      <c r="B957" s="9"/>
    </row>
    <row r="958" spans="2:2" ht="12.5" x14ac:dyDescent="0.25">
      <c r="B958" s="9"/>
    </row>
    <row r="959" spans="2:2" ht="12.5" x14ac:dyDescent="0.25">
      <c r="B959" s="9"/>
    </row>
    <row r="960" spans="2:2" ht="12.5" x14ac:dyDescent="0.25">
      <c r="B960" s="9"/>
    </row>
    <row r="961" spans="2:2" ht="12.5" x14ac:dyDescent="0.25">
      <c r="B961" s="9"/>
    </row>
    <row r="962" spans="2:2" ht="12.5" x14ac:dyDescent="0.25">
      <c r="B962" s="9"/>
    </row>
    <row r="963" spans="2:2" ht="12.5" x14ac:dyDescent="0.25">
      <c r="B963" s="9"/>
    </row>
    <row r="964" spans="2:2" ht="12.5" x14ac:dyDescent="0.25">
      <c r="B964" s="9"/>
    </row>
    <row r="965" spans="2:2" ht="12.5" x14ac:dyDescent="0.25">
      <c r="B965" s="9"/>
    </row>
    <row r="966" spans="2:2" ht="12.5" x14ac:dyDescent="0.25">
      <c r="B966" s="9"/>
    </row>
    <row r="967" spans="2:2" ht="12.5" x14ac:dyDescent="0.25">
      <c r="B967" s="9"/>
    </row>
    <row r="968" spans="2:2" ht="12.5" x14ac:dyDescent="0.25">
      <c r="B968" s="9"/>
    </row>
    <row r="969" spans="2:2" ht="12.5" x14ac:dyDescent="0.25">
      <c r="B969" s="9"/>
    </row>
    <row r="970" spans="2:2" ht="12.5" x14ac:dyDescent="0.25">
      <c r="B970" s="9"/>
    </row>
    <row r="971" spans="2:2" ht="12.5" x14ac:dyDescent="0.25">
      <c r="B971" s="9"/>
    </row>
    <row r="972" spans="2:2" ht="12.5" x14ac:dyDescent="0.25">
      <c r="B972" s="9"/>
    </row>
    <row r="973" spans="2:2" ht="12.5" x14ac:dyDescent="0.25">
      <c r="B973" s="9"/>
    </row>
    <row r="974" spans="2:2" ht="12.5" x14ac:dyDescent="0.25">
      <c r="B974" s="9"/>
    </row>
    <row r="975" spans="2:2" ht="12.5" x14ac:dyDescent="0.25">
      <c r="B975" s="9"/>
    </row>
    <row r="976" spans="2:2" ht="12.5" x14ac:dyDescent="0.25">
      <c r="B976" s="9"/>
    </row>
    <row r="977" spans="2:2" ht="12.5" x14ac:dyDescent="0.25">
      <c r="B977" s="9"/>
    </row>
    <row r="978" spans="2:2" ht="12.5" x14ac:dyDescent="0.25">
      <c r="B978" s="9"/>
    </row>
    <row r="979" spans="2:2" ht="12.5" x14ac:dyDescent="0.25">
      <c r="B979" s="9"/>
    </row>
    <row r="980" spans="2:2" ht="12.5" x14ac:dyDescent="0.25">
      <c r="B980" s="9"/>
    </row>
    <row r="981" spans="2:2" ht="12.5" x14ac:dyDescent="0.25">
      <c r="B981" s="9"/>
    </row>
    <row r="982" spans="2:2" ht="12.5" x14ac:dyDescent="0.25">
      <c r="B982" s="9"/>
    </row>
    <row r="983" spans="2:2" ht="12.5" x14ac:dyDescent="0.25">
      <c r="B983" s="9"/>
    </row>
    <row r="984" spans="2:2" ht="12.5" x14ac:dyDescent="0.25">
      <c r="B984" s="9"/>
    </row>
    <row r="985" spans="2:2" ht="12.5" x14ac:dyDescent="0.25">
      <c r="B985" s="9"/>
    </row>
    <row r="986" spans="2:2" ht="12.5" x14ac:dyDescent="0.25">
      <c r="B986" s="9"/>
    </row>
    <row r="987" spans="2:2" ht="12.5" x14ac:dyDescent="0.25">
      <c r="B987" s="9"/>
    </row>
    <row r="988" spans="2:2" ht="12.5" x14ac:dyDescent="0.25">
      <c r="B988" s="9"/>
    </row>
    <row r="989" spans="2:2" ht="12.5" x14ac:dyDescent="0.25">
      <c r="B989" s="9"/>
    </row>
    <row r="990" spans="2:2" ht="12.5" x14ac:dyDescent="0.25">
      <c r="B990" s="9"/>
    </row>
    <row r="991" spans="2:2" ht="12.5" x14ac:dyDescent="0.25">
      <c r="B991" s="9"/>
    </row>
    <row r="992" spans="2:2" ht="12.5" x14ac:dyDescent="0.25">
      <c r="B992" s="9"/>
    </row>
    <row r="993" spans="2:2" ht="12.5" x14ac:dyDescent="0.25">
      <c r="B993" s="9"/>
    </row>
    <row r="994" spans="2:2" ht="12.5" x14ac:dyDescent="0.25">
      <c r="B994" s="9"/>
    </row>
    <row r="995" spans="2:2" ht="12.5" x14ac:dyDescent="0.25">
      <c r="B995" s="9"/>
    </row>
    <row r="996" spans="2:2" ht="12.5" x14ac:dyDescent="0.25">
      <c r="B996" s="9"/>
    </row>
    <row r="997" spans="2:2" ht="12.5" x14ac:dyDescent="0.25">
      <c r="B997" s="9"/>
    </row>
    <row r="998" spans="2:2" ht="12.5" x14ac:dyDescent="0.25">
      <c r="B998" s="9"/>
    </row>
    <row r="999" spans="2:2" ht="12.5" x14ac:dyDescent="0.25">
      <c r="B999" s="9"/>
    </row>
    <row r="1000" spans="2:2" ht="12.5" x14ac:dyDescent="0.25">
      <c r="B1000" s="9"/>
    </row>
    <row r="1001" spans="2:2" ht="12.5" x14ac:dyDescent="0.25">
      <c r="B1001" s="9"/>
    </row>
    <row r="1002" spans="2:2" ht="12.5" x14ac:dyDescent="0.25">
      <c r="B1002" s="9"/>
    </row>
    <row r="1003" spans="2:2" ht="12.5" x14ac:dyDescent="0.25">
      <c r="B1003" s="9"/>
    </row>
    <row r="1004" spans="2:2" ht="12.5" x14ac:dyDescent="0.25">
      <c r="B1004" s="9"/>
    </row>
    <row r="1005" spans="2:2" ht="12.5" x14ac:dyDescent="0.25">
      <c r="B1005" s="9"/>
    </row>
    <row r="1006" spans="2:2" ht="12.5" x14ac:dyDescent="0.25">
      <c r="B1006" s="9"/>
    </row>
    <row r="1007" spans="2:2" ht="12.5" x14ac:dyDescent="0.25">
      <c r="B100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B57B-7CFF-4440-AD4E-103F17B64F62}">
  <sheetPr>
    <outlinePr summaryBelow="0" summaryRight="0"/>
  </sheetPr>
  <dimension ref="A2:AI1007"/>
  <sheetViews>
    <sheetView zoomScale="77" workbookViewId="0">
      <selection activeCell="E8" sqref="E8"/>
    </sheetView>
  </sheetViews>
  <sheetFormatPr defaultColWidth="12.6328125" defaultRowHeight="15.75" customHeight="1" x14ac:dyDescent="0.25"/>
  <cols>
    <col min="1" max="1" width="15.6328125" bestFit="1" customWidth="1"/>
    <col min="4" max="4" width="15.6328125" bestFit="1" customWidth="1"/>
    <col min="5" max="5" width="15.26953125" bestFit="1" customWidth="1"/>
    <col min="7" max="7" width="15.6328125" bestFit="1" customWidth="1"/>
    <col min="10" max="10" width="15.6328125" bestFit="1" customWidth="1"/>
    <col min="13" max="13" width="15.6328125" bestFit="1" customWidth="1"/>
    <col min="16" max="16" width="15.6328125" bestFit="1" customWidth="1"/>
    <col min="19" max="19" width="15.6328125" bestFit="1" customWidth="1"/>
    <col min="22" max="22" width="15.6328125" bestFit="1" customWidth="1"/>
    <col min="25" max="25" width="15.6328125" bestFit="1" customWidth="1"/>
    <col min="28" max="28" width="15.6328125" bestFit="1" customWidth="1"/>
    <col min="31" max="31" width="15.6328125" bestFit="1" customWidth="1"/>
    <col min="34" max="34" width="15.6328125" bestFit="1" customWidth="1"/>
  </cols>
  <sheetData>
    <row r="2" spans="1:35" s="27" customFormat="1" ht="15.75" customHeight="1" x14ac:dyDescent="0.25">
      <c r="A2" s="35" t="s">
        <v>70</v>
      </c>
      <c r="B2" s="35"/>
      <c r="D2" s="35" t="s">
        <v>71</v>
      </c>
      <c r="E2" s="35"/>
      <c r="G2" s="35" t="s">
        <v>72</v>
      </c>
      <c r="H2" s="35"/>
      <c r="J2" s="35" t="s">
        <v>73</v>
      </c>
      <c r="K2" s="35"/>
      <c r="M2" s="35" t="s">
        <v>74</v>
      </c>
      <c r="N2" s="35"/>
      <c r="P2" s="35" t="s">
        <v>75</v>
      </c>
      <c r="Q2" s="35"/>
      <c r="S2" s="35" t="s">
        <v>76</v>
      </c>
      <c r="T2" s="35"/>
      <c r="V2" s="35" t="s">
        <v>62</v>
      </c>
      <c r="W2" s="35"/>
      <c r="Y2" s="35" t="s">
        <v>63</v>
      </c>
      <c r="Z2" s="35"/>
      <c r="AB2" s="35" t="s">
        <v>64</v>
      </c>
      <c r="AC2" s="35"/>
      <c r="AE2" s="35" t="s">
        <v>65</v>
      </c>
      <c r="AF2" s="35"/>
      <c r="AH2" s="35" t="s">
        <v>66</v>
      </c>
      <c r="AI2" s="35"/>
    </row>
    <row r="3" spans="1:35" ht="15.75" customHeight="1" x14ac:dyDescent="0.25">
      <c r="A3" s="1"/>
      <c r="B3" s="9"/>
      <c r="D3" s="1"/>
      <c r="E3" s="9"/>
      <c r="G3" s="1"/>
      <c r="H3" s="9"/>
      <c r="J3" s="1"/>
      <c r="K3" s="9"/>
      <c r="M3" s="1"/>
      <c r="N3" s="9"/>
      <c r="P3" s="1"/>
      <c r="Q3" s="9"/>
      <c r="S3" s="1"/>
      <c r="T3" s="9"/>
      <c r="V3" s="1"/>
      <c r="W3" s="9"/>
      <c r="Y3" s="1"/>
      <c r="Z3" s="9"/>
      <c r="AB3" s="1"/>
      <c r="AC3" s="9"/>
      <c r="AE3" s="1"/>
      <c r="AF3" s="9"/>
      <c r="AH3" s="1"/>
      <c r="AI3" s="9"/>
    </row>
    <row r="4" spans="1:35" ht="15.75" customHeight="1" x14ac:dyDescent="0.25">
      <c r="A4" s="2" t="s">
        <v>52</v>
      </c>
      <c r="B4" s="10" t="s">
        <v>2</v>
      </c>
      <c r="D4" s="2" t="s">
        <v>80</v>
      </c>
      <c r="E4" s="10" t="s">
        <v>2</v>
      </c>
      <c r="F4" s="11"/>
      <c r="G4" s="2" t="s">
        <v>84</v>
      </c>
      <c r="H4" s="10" t="s">
        <v>2</v>
      </c>
      <c r="J4" s="2" t="s">
        <v>88</v>
      </c>
      <c r="K4" s="10" t="s">
        <v>2</v>
      </c>
      <c r="M4" s="2" t="s">
        <v>93</v>
      </c>
      <c r="N4" s="10" t="s">
        <v>2</v>
      </c>
      <c r="P4" s="2" t="s">
        <v>97</v>
      </c>
      <c r="Q4" s="10" t="s">
        <v>2</v>
      </c>
      <c r="R4" s="11"/>
      <c r="S4" s="2" t="s">
        <v>101</v>
      </c>
      <c r="T4" s="10" t="s">
        <v>2</v>
      </c>
      <c r="V4" s="2" t="s">
        <v>106</v>
      </c>
      <c r="W4" s="10" t="s">
        <v>2</v>
      </c>
      <c r="Y4" s="2" t="s">
        <v>110</v>
      </c>
      <c r="Z4" s="10" t="s">
        <v>2</v>
      </c>
      <c r="AB4" s="2" t="s">
        <v>114</v>
      </c>
      <c r="AC4" s="10" t="s">
        <v>2</v>
      </c>
      <c r="AD4" s="11"/>
      <c r="AE4" s="2" t="s">
        <v>119</v>
      </c>
      <c r="AF4" s="10" t="s">
        <v>2</v>
      </c>
      <c r="AH4" s="2" t="s">
        <v>123</v>
      </c>
      <c r="AI4" s="10" t="s">
        <v>2</v>
      </c>
    </row>
    <row r="5" spans="1:35" ht="15.75" customHeight="1" x14ac:dyDescent="0.25">
      <c r="A5" s="1" t="s">
        <v>21</v>
      </c>
      <c r="B5" s="9"/>
      <c r="D5" s="1" t="s">
        <v>21</v>
      </c>
      <c r="E5" s="9"/>
      <c r="F5" s="11"/>
      <c r="G5" s="1" t="s">
        <v>21</v>
      </c>
      <c r="H5" s="9"/>
      <c r="J5" s="1" t="s">
        <v>21</v>
      </c>
      <c r="K5" s="9"/>
      <c r="M5" s="1" t="s">
        <v>21</v>
      </c>
      <c r="N5" s="9"/>
      <c r="P5" s="1" t="s">
        <v>21</v>
      </c>
      <c r="Q5" s="9"/>
      <c r="R5" s="11"/>
      <c r="S5" s="1" t="s">
        <v>21</v>
      </c>
      <c r="T5" s="9"/>
      <c r="V5" s="1" t="s">
        <v>21</v>
      </c>
      <c r="W5" s="9"/>
      <c r="Y5" s="1" t="s">
        <v>21</v>
      </c>
      <c r="Z5" s="9"/>
      <c r="AB5" s="1" t="s">
        <v>21</v>
      </c>
      <c r="AC5" s="9"/>
      <c r="AD5" s="11"/>
      <c r="AE5" s="1" t="s">
        <v>21</v>
      </c>
      <c r="AF5" s="9"/>
      <c r="AH5" s="1" t="s">
        <v>21</v>
      </c>
      <c r="AI5" s="9"/>
    </row>
    <row r="6" spans="1:35" ht="15.75" customHeight="1" x14ac:dyDescent="0.25">
      <c r="A6" s="1" t="s">
        <v>12</v>
      </c>
      <c r="B6" s="9"/>
      <c r="D6" s="1" t="s">
        <v>12</v>
      </c>
      <c r="E6" s="9"/>
      <c r="F6" s="11"/>
      <c r="G6" s="1" t="s">
        <v>12</v>
      </c>
      <c r="H6" s="9"/>
      <c r="J6" s="1" t="s">
        <v>12</v>
      </c>
      <c r="K6" s="9"/>
      <c r="M6" s="1" t="s">
        <v>12</v>
      </c>
      <c r="N6" s="9"/>
      <c r="P6" s="1" t="s">
        <v>12</v>
      </c>
      <c r="Q6" s="9"/>
      <c r="R6" s="11"/>
      <c r="S6" s="1" t="s">
        <v>12</v>
      </c>
      <c r="T6" s="9"/>
      <c r="V6" s="1" t="s">
        <v>12</v>
      </c>
      <c r="W6" s="9"/>
      <c r="Y6" s="1" t="s">
        <v>12</v>
      </c>
      <c r="Z6" s="9"/>
      <c r="AB6" s="1" t="s">
        <v>12</v>
      </c>
      <c r="AC6" s="9"/>
      <c r="AD6" s="11"/>
      <c r="AE6" s="1" t="s">
        <v>12</v>
      </c>
      <c r="AF6" s="9"/>
      <c r="AH6" s="1" t="s">
        <v>12</v>
      </c>
      <c r="AI6" s="9"/>
    </row>
    <row r="7" spans="1:35" ht="15.75" customHeight="1" x14ac:dyDescent="0.25">
      <c r="A7" s="1" t="s">
        <v>24</v>
      </c>
      <c r="B7" s="9"/>
      <c r="D7" s="1" t="s">
        <v>24</v>
      </c>
      <c r="E7" s="9"/>
      <c r="F7" s="13"/>
      <c r="G7" s="1" t="s">
        <v>24</v>
      </c>
      <c r="H7" s="9"/>
      <c r="J7" s="1" t="s">
        <v>24</v>
      </c>
      <c r="K7" s="9"/>
      <c r="M7" s="1" t="s">
        <v>24</v>
      </c>
      <c r="N7" s="9"/>
      <c r="P7" s="1" t="s">
        <v>24</v>
      </c>
      <c r="Q7" s="9"/>
      <c r="R7" s="13"/>
      <c r="S7" s="1" t="s">
        <v>24</v>
      </c>
      <c r="T7" s="9"/>
      <c r="V7" s="1" t="s">
        <v>24</v>
      </c>
      <c r="W7" s="9"/>
      <c r="Y7" s="1" t="s">
        <v>24</v>
      </c>
      <c r="Z7" s="9"/>
      <c r="AB7" s="1" t="s">
        <v>24</v>
      </c>
      <c r="AC7" s="9"/>
      <c r="AD7" s="13"/>
      <c r="AE7" s="1" t="s">
        <v>24</v>
      </c>
      <c r="AF7" s="9"/>
      <c r="AH7" s="1" t="s">
        <v>24</v>
      </c>
      <c r="AI7" s="9"/>
    </row>
    <row r="8" spans="1:35" ht="15.75" customHeight="1" x14ac:dyDescent="0.25">
      <c r="A8" s="1"/>
      <c r="B8" s="9"/>
      <c r="D8" s="1"/>
      <c r="E8" s="9"/>
      <c r="F8" s="13"/>
      <c r="G8" s="1"/>
      <c r="H8" s="9"/>
      <c r="J8" s="1"/>
      <c r="K8" s="9"/>
      <c r="M8" s="1"/>
      <c r="N8" s="9"/>
      <c r="P8" s="1"/>
      <c r="Q8" s="9"/>
      <c r="R8" s="13"/>
      <c r="S8" s="1"/>
      <c r="T8" s="9"/>
      <c r="V8" s="1"/>
      <c r="W8" s="9"/>
      <c r="Y8" s="1"/>
      <c r="Z8" s="9"/>
      <c r="AB8" s="1"/>
      <c r="AC8" s="9"/>
      <c r="AD8" s="13"/>
      <c r="AE8" s="1"/>
      <c r="AF8" s="9"/>
      <c r="AH8" s="1"/>
      <c r="AI8" s="9"/>
    </row>
    <row r="9" spans="1:35" ht="15.75" customHeight="1" x14ac:dyDescent="0.25">
      <c r="A9" s="2" t="s">
        <v>53</v>
      </c>
      <c r="B9" s="10" t="s">
        <v>2</v>
      </c>
      <c r="D9" s="2" t="s">
        <v>81</v>
      </c>
      <c r="E9" s="10" t="s">
        <v>2</v>
      </c>
      <c r="F9" s="13"/>
      <c r="G9" s="2" t="s">
        <v>85</v>
      </c>
      <c r="H9" s="10" t="s">
        <v>2</v>
      </c>
      <c r="J9" s="2" t="s">
        <v>89</v>
      </c>
      <c r="K9" s="10" t="s">
        <v>2</v>
      </c>
      <c r="M9" s="2" t="s">
        <v>94</v>
      </c>
      <c r="N9" s="10" t="s">
        <v>2</v>
      </c>
      <c r="P9" s="2" t="s">
        <v>98</v>
      </c>
      <c r="Q9" s="10" t="s">
        <v>2</v>
      </c>
      <c r="R9" s="13"/>
      <c r="S9" s="2" t="s">
        <v>102</v>
      </c>
      <c r="T9" s="10" t="s">
        <v>2</v>
      </c>
      <c r="V9" s="2" t="s">
        <v>107</v>
      </c>
      <c r="W9" s="10" t="s">
        <v>2</v>
      </c>
      <c r="Y9" s="2" t="s">
        <v>111</v>
      </c>
      <c r="Z9" s="10" t="s">
        <v>2</v>
      </c>
      <c r="AB9" s="2" t="s">
        <v>115</v>
      </c>
      <c r="AC9" s="10" t="s">
        <v>2</v>
      </c>
      <c r="AD9" s="13"/>
      <c r="AE9" s="2" t="s">
        <v>120</v>
      </c>
      <c r="AF9" s="10" t="s">
        <v>2</v>
      </c>
      <c r="AH9" s="2" t="s">
        <v>124</v>
      </c>
      <c r="AI9" s="10" t="s">
        <v>2</v>
      </c>
    </row>
    <row r="10" spans="1:35" ht="15.75" customHeight="1" x14ac:dyDescent="0.25">
      <c r="A10" s="1" t="s">
        <v>21</v>
      </c>
      <c r="B10" s="9"/>
      <c r="D10" s="1" t="s">
        <v>21</v>
      </c>
      <c r="E10" s="9"/>
      <c r="F10" s="13"/>
      <c r="G10" s="1" t="s">
        <v>21</v>
      </c>
      <c r="H10" s="9"/>
      <c r="J10" s="1" t="s">
        <v>21</v>
      </c>
      <c r="K10" s="9"/>
      <c r="M10" s="1" t="s">
        <v>21</v>
      </c>
      <c r="N10" s="9"/>
      <c r="P10" s="1" t="s">
        <v>21</v>
      </c>
      <c r="Q10" s="9"/>
      <c r="R10" s="13"/>
      <c r="S10" s="1" t="s">
        <v>21</v>
      </c>
      <c r="T10" s="9"/>
      <c r="V10" s="1" t="s">
        <v>21</v>
      </c>
      <c r="W10" s="9"/>
      <c r="Y10" s="1" t="s">
        <v>21</v>
      </c>
      <c r="Z10" s="9"/>
      <c r="AB10" s="1" t="s">
        <v>21</v>
      </c>
      <c r="AC10" s="9"/>
      <c r="AD10" s="13"/>
      <c r="AE10" s="1" t="s">
        <v>21</v>
      </c>
      <c r="AF10" s="9"/>
      <c r="AH10" s="1" t="s">
        <v>21</v>
      </c>
      <c r="AI10" s="9"/>
    </row>
    <row r="11" spans="1:35" ht="15.75" customHeight="1" x14ac:dyDescent="0.25">
      <c r="A11" s="1" t="s">
        <v>12</v>
      </c>
      <c r="B11" s="9"/>
      <c r="D11" s="1" t="s">
        <v>12</v>
      </c>
      <c r="E11" s="9"/>
      <c r="F11" s="13"/>
      <c r="G11" s="1" t="s">
        <v>12</v>
      </c>
      <c r="H11" s="9"/>
      <c r="J11" s="1" t="s">
        <v>12</v>
      </c>
      <c r="K11" s="9"/>
      <c r="M11" s="1" t="s">
        <v>12</v>
      </c>
      <c r="N11" s="9"/>
      <c r="P11" s="1" t="s">
        <v>12</v>
      </c>
      <c r="Q11" s="9"/>
      <c r="R11" s="13"/>
      <c r="S11" s="1" t="s">
        <v>12</v>
      </c>
      <c r="T11" s="9"/>
      <c r="V11" s="1" t="s">
        <v>12</v>
      </c>
      <c r="W11" s="9"/>
      <c r="Y11" s="1" t="s">
        <v>12</v>
      </c>
      <c r="Z11" s="9"/>
      <c r="AB11" s="1" t="s">
        <v>12</v>
      </c>
      <c r="AC11" s="9"/>
      <c r="AD11" s="13"/>
      <c r="AE11" s="1" t="s">
        <v>12</v>
      </c>
      <c r="AF11" s="9"/>
      <c r="AH11" s="1" t="s">
        <v>12</v>
      </c>
      <c r="AI11" s="9"/>
    </row>
    <row r="12" spans="1:35" ht="15.75" customHeight="1" x14ac:dyDescent="0.25">
      <c r="A12" s="1" t="s">
        <v>24</v>
      </c>
      <c r="B12" s="9"/>
      <c r="D12" s="1" t="s">
        <v>24</v>
      </c>
      <c r="E12" s="9"/>
      <c r="F12" s="13"/>
      <c r="G12" s="1" t="s">
        <v>24</v>
      </c>
      <c r="H12" s="9"/>
      <c r="J12" s="1" t="s">
        <v>24</v>
      </c>
      <c r="K12" s="9"/>
      <c r="M12" s="1" t="s">
        <v>24</v>
      </c>
      <c r="N12" s="9"/>
      <c r="P12" s="1" t="s">
        <v>24</v>
      </c>
      <c r="Q12" s="9"/>
      <c r="R12" s="13"/>
      <c r="S12" s="1" t="s">
        <v>24</v>
      </c>
      <c r="T12" s="9"/>
      <c r="V12" s="1" t="s">
        <v>24</v>
      </c>
      <c r="W12" s="9"/>
      <c r="Y12" s="1" t="s">
        <v>24</v>
      </c>
      <c r="Z12" s="9"/>
      <c r="AB12" s="1" t="s">
        <v>24</v>
      </c>
      <c r="AC12" s="9"/>
      <c r="AD12" s="13"/>
      <c r="AE12" s="1" t="s">
        <v>24</v>
      </c>
      <c r="AF12" s="9"/>
      <c r="AH12" s="1" t="s">
        <v>24</v>
      </c>
      <c r="AI12" s="9"/>
    </row>
    <row r="13" spans="1:35" ht="15.75" customHeight="1" x14ac:dyDescent="0.25">
      <c r="A13" s="1"/>
      <c r="B13" s="9"/>
      <c r="D13" s="1"/>
      <c r="E13" s="9"/>
      <c r="F13" s="9"/>
      <c r="G13" s="1"/>
      <c r="H13" s="9"/>
      <c r="J13" s="1"/>
      <c r="K13" s="9"/>
      <c r="L13" s="9"/>
      <c r="M13" s="1"/>
      <c r="N13" s="9"/>
      <c r="P13" s="1"/>
      <c r="Q13" s="9"/>
      <c r="R13" s="9"/>
      <c r="S13" s="1"/>
      <c r="T13" s="9"/>
      <c r="V13" s="1"/>
      <c r="W13" s="9"/>
      <c r="X13" s="9"/>
      <c r="Y13" s="1"/>
      <c r="Z13" s="9"/>
      <c r="AB13" s="1"/>
      <c r="AC13" s="9"/>
      <c r="AD13" s="9"/>
      <c r="AE13" s="1"/>
      <c r="AF13" s="9"/>
      <c r="AH13" s="1"/>
      <c r="AI13" s="9"/>
    </row>
    <row r="14" spans="1:35" ht="15.75" customHeight="1" x14ac:dyDescent="0.25">
      <c r="A14" s="2" t="s">
        <v>54</v>
      </c>
      <c r="B14" s="10" t="s">
        <v>2</v>
      </c>
      <c r="D14" s="2" t="s">
        <v>82</v>
      </c>
      <c r="E14" s="10" t="s">
        <v>2</v>
      </c>
      <c r="G14" s="2" t="s">
        <v>86</v>
      </c>
      <c r="H14" s="10" t="s">
        <v>2</v>
      </c>
      <c r="J14" s="2" t="s">
        <v>90</v>
      </c>
      <c r="K14" s="10" t="s">
        <v>2</v>
      </c>
      <c r="M14" s="2" t="s">
        <v>95</v>
      </c>
      <c r="N14" s="10" t="s">
        <v>2</v>
      </c>
      <c r="P14" s="2" t="s">
        <v>99</v>
      </c>
      <c r="Q14" s="10" t="s">
        <v>2</v>
      </c>
      <c r="S14" s="2" t="s">
        <v>103</v>
      </c>
      <c r="T14" s="10" t="s">
        <v>2</v>
      </c>
      <c r="V14" s="2" t="s">
        <v>108</v>
      </c>
      <c r="W14" s="10" t="s">
        <v>2</v>
      </c>
      <c r="Y14" s="2" t="s">
        <v>112</v>
      </c>
      <c r="Z14" s="10" t="s">
        <v>2</v>
      </c>
      <c r="AB14" s="2" t="s">
        <v>116</v>
      </c>
      <c r="AC14" s="10" t="s">
        <v>2</v>
      </c>
      <c r="AE14" s="2" t="s">
        <v>121</v>
      </c>
      <c r="AF14" s="10" t="s">
        <v>2</v>
      </c>
      <c r="AH14" s="2" t="s">
        <v>125</v>
      </c>
      <c r="AI14" s="10" t="s">
        <v>2</v>
      </c>
    </row>
    <row r="15" spans="1:35" ht="15.75" customHeight="1" x14ac:dyDescent="0.25">
      <c r="A15" s="1" t="s">
        <v>21</v>
      </c>
      <c r="B15" s="9"/>
      <c r="D15" s="1" t="s">
        <v>21</v>
      </c>
      <c r="E15" s="9"/>
      <c r="G15" s="1" t="s">
        <v>21</v>
      </c>
      <c r="H15" s="9"/>
      <c r="J15" s="1" t="s">
        <v>21</v>
      </c>
      <c r="K15" s="9"/>
      <c r="M15" s="1" t="s">
        <v>21</v>
      </c>
      <c r="N15" s="9"/>
      <c r="P15" s="1" t="s">
        <v>21</v>
      </c>
      <c r="Q15" s="9"/>
      <c r="S15" s="1" t="s">
        <v>21</v>
      </c>
      <c r="T15" s="9"/>
      <c r="V15" s="1" t="s">
        <v>21</v>
      </c>
      <c r="W15" s="9"/>
      <c r="Y15" s="1" t="s">
        <v>21</v>
      </c>
      <c r="Z15" s="9"/>
      <c r="AB15" s="1" t="s">
        <v>21</v>
      </c>
      <c r="AC15" s="9"/>
      <c r="AE15" s="1" t="s">
        <v>21</v>
      </c>
      <c r="AF15" s="9"/>
      <c r="AH15" s="1" t="s">
        <v>21</v>
      </c>
      <c r="AI15" s="9"/>
    </row>
    <row r="16" spans="1:35" ht="15.75" customHeight="1" x14ac:dyDescent="0.25">
      <c r="A16" s="1" t="s">
        <v>12</v>
      </c>
      <c r="B16" s="9"/>
      <c r="D16" s="1" t="s">
        <v>12</v>
      </c>
      <c r="E16" s="9"/>
      <c r="G16" s="1" t="s">
        <v>12</v>
      </c>
      <c r="H16" s="9"/>
      <c r="J16" s="1" t="s">
        <v>12</v>
      </c>
      <c r="K16" s="9"/>
      <c r="M16" s="1" t="s">
        <v>12</v>
      </c>
      <c r="N16" s="9"/>
      <c r="P16" s="1" t="s">
        <v>12</v>
      </c>
      <c r="Q16" s="9"/>
      <c r="S16" s="1" t="s">
        <v>12</v>
      </c>
      <c r="T16" s="9"/>
      <c r="V16" s="1" t="s">
        <v>12</v>
      </c>
      <c r="W16" s="9"/>
      <c r="Y16" s="1" t="s">
        <v>12</v>
      </c>
      <c r="Z16" s="9"/>
      <c r="AB16" s="1" t="s">
        <v>12</v>
      </c>
      <c r="AC16" s="9"/>
      <c r="AE16" s="1" t="s">
        <v>12</v>
      </c>
      <c r="AF16" s="9"/>
      <c r="AH16" s="1" t="s">
        <v>12</v>
      </c>
      <c r="AI16" s="9"/>
    </row>
    <row r="17" spans="1:35" ht="15.75" customHeight="1" x14ac:dyDescent="0.25">
      <c r="A17" s="1" t="s">
        <v>24</v>
      </c>
      <c r="B17" s="9"/>
      <c r="D17" s="1" t="s">
        <v>24</v>
      </c>
      <c r="E17" s="9"/>
      <c r="G17" s="1" t="s">
        <v>24</v>
      </c>
      <c r="H17" s="9"/>
      <c r="J17" s="1" t="s">
        <v>24</v>
      </c>
      <c r="K17" s="9"/>
      <c r="M17" s="1" t="s">
        <v>24</v>
      </c>
      <c r="N17" s="9"/>
      <c r="P17" s="1" t="s">
        <v>24</v>
      </c>
      <c r="Q17" s="9"/>
      <c r="S17" s="1" t="s">
        <v>24</v>
      </c>
      <c r="T17" s="9"/>
      <c r="V17" s="1" t="s">
        <v>24</v>
      </c>
      <c r="W17" s="9"/>
      <c r="Y17" s="1" t="s">
        <v>24</v>
      </c>
      <c r="Z17" s="9"/>
      <c r="AB17" s="1" t="s">
        <v>24</v>
      </c>
      <c r="AC17" s="9"/>
      <c r="AE17" s="1" t="s">
        <v>24</v>
      </c>
      <c r="AF17" s="9"/>
      <c r="AH17" s="1" t="s">
        <v>24</v>
      </c>
      <c r="AI17" s="9"/>
    </row>
    <row r="18" spans="1:35" ht="15.75" customHeight="1" x14ac:dyDescent="0.25">
      <c r="A18" s="1"/>
      <c r="B18" s="9"/>
      <c r="D18" s="1"/>
      <c r="E18" s="9"/>
      <c r="G18" s="1"/>
      <c r="H18" s="9"/>
      <c r="J18" s="1"/>
      <c r="K18" s="9"/>
      <c r="M18" s="1"/>
      <c r="N18" s="9"/>
      <c r="P18" s="1"/>
      <c r="Q18" s="9"/>
      <c r="S18" s="1"/>
      <c r="T18" s="9"/>
      <c r="V18" s="1"/>
      <c r="W18" s="9"/>
      <c r="Y18" s="1"/>
      <c r="Z18" s="9"/>
      <c r="AB18" s="1"/>
      <c r="AC18" s="9"/>
      <c r="AE18" s="1"/>
      <c r="AF18" s="9"/>
      <c r="AH18" s="1"/>
      <c r="AI18" s="9"/>
    </row>
    <row r="19" spans="1:35" ht="15.75" customHeight="1" x14ac:dyDescent="0.25">
      <c r="A19" s="2" t="s">
        <v>55</v>
      </c>
      <c r="B19" s="10" t="s">
        <v>2</v>
      </c>
      <c r="D19" s="2" t="s">
        <v>83</v>
      </c>
      <c r="E19" s="10" t="s">
        <v>2</v>
      </c>
      <c r="F19" s="9"/>
      <c r="G19" s="2" t="s">
        <v>87</v>
      </c>
      <c r="H19" s="10" t="s">
        <v>2</v>
      </c>
      <c r="J19" s="2" t="s">
        <v>91</v>
      </c>
      <c r="K19" s="10" t="s">
        <v>2</v>
      </c>
      <c r="L19" s="9"/>
      <c r="M19" s="2" t="s">
        <v>96</v>
      </c>
      <c r="N19" s="10" t="s">
        <v>2</v>
      </c>
      <c r="P19" s="2" t="s">
        <v>100</v>
      </c>
      <c r="Q19" s="10" t="s">
        <v>2</v>
      </c>
      <c r="R19" s="9"/>
      <c r="S19" s="2" t="s">
        <v>104</v>
      </c>
      <c r="T19" s="10" t="s">
        <v>2</v>
      </c>
      <c r="V19" s="2" t="s">
        <v>109</v>
      </c>
      <c r="W19" s="10" t="s">
        <v>2</v>
      </c>
      <c r="X19" s="9"/>
      <c r="Y19" s="2" t="s">
        <v>113</v>
      </c>
      <c r="Z19" s="10" t="s">
        <v>2</v>
      </c>
      <c r="AB19" s="2" t="s">
        <v>117</v>
      </c>
      <c r="AC19" s="10" t="s">
        <v>2</v>
      </c>
      <c r="AD19" s="9"/>
      <c r="AE19" s="2" t="s">
        <v>122</v>
      </c>
      <c r="AF19" s="10" t="s">
        <v>2</v>
      </c>
      <c r="AH19" s="2" t="s">
        <v>126</v>
      </c>
      <c r="AI19" s="10" t="s">
        <v>2</v>
      </c>
    </row>
    <row r="20" spans="1:35" ht="15.75" customHeight="1" x14ac:dyDescent="0.25">
      <c r="A20" s="1" t="s">
        <v>21</v>
      </c>
      <c r="B20" s="9"/>
      <c r="D20" s="1" t="s">
        <v>21</v>
      </c>
      <c r="E20" s="9"/>
      <c r="G20" s="1" t="s">
        <v>21</v>
      </c>
      <c r="H20" s="9"/>
      <c r="J20" s="1" t="s">
        <v>21</v>
      </c>
      <c r="K20" s="9"/>
      <c r="M20" s="1" t="s">
        <v>21</v>
      </c>
      <c r="N20" s="9"/>
      <c r="P20" s="1" t="s">
        <v>21</v>
      </c>
      <c r="Q20" s="9"/>
      <c r="S20" s="1" t="s">
        <v>21</v>
      </c>
      <c r="T20" s="9"/>
      <c r="V20" s="1" t="s">
        <v>21</v>
      </c>
      <c r="W20" s="9"/>
      <c r="Y20" s="1" t="s">
        <v>21</v>
      </c>
      <c r="Z20" s="9"/>
      <c r="AB20" s="1" t="s">
        <v>21</v>
      </c>
      <c r="AC20" s="9"/>
      <c r="AE20" s="1" t="s">
        <v>21</v>
      </c>
      <c r="AF20" s="9"/>
      <c r="AH20" s="1" t="s">
        <v>21</v>
      </c>
      <c r="AI20" s="9"/>
    </row>
    <row r="21" spans="1:35" ht="15.75" customHeight="1" x14ac:dyDescent="0.25">
      <c r="A21" s="1" t="s">
        <v>12</v>
      </c>
      <c r="B21" s="9"/>
      <c r="D21" s="1" t="s">
        <v>12</v>
      </c>
      <c r="E21" s="9"/>
      <c r="G21" s="1" t="s">
        <v>12</v>
      </c>
      <c r="H21" s="9"/>
      <c r="J21" s="1" t="s">
        <v>12</v>
      </c>
      <c r="K21" s="9"/>
      <c r="M21" s="1" t="s">
        <v>12</v>
      </c>
      <c r="N21" s="9"/>
      <c r="P21" s="1" t="s">
        <v>12</v>
      </c>
      <c r="Q21" s="9"/>
      <c r="S21" s="1" t="s">
        <v>12</v>
      </c>
      <c r="T21" s="9"/>
      <c r="V21" s="1" t="s">
        <v>12</v>
      </c>
      <c r="W21" s="9"/>
      <c r="Y21" s="1" t="s">
        <v>12</v>
      </c>
      <c r="Z21" s="9"/>
      <c r="AB21" s="1" t="s">
        <v>12</v>
      </c>
      <c r="AC21" s="9"/>
      <c r="AE21" s="1" t="s">
        <v>12</v>
      </c>
      <c r="AF21" s="9"/>
      <c r="AH21" s="1" t="s">
        <v>12</v>
      </c>
      <c r="AI21" s="9"/>
    </row>
    <row r="22" spans="1:35" ht="12.5" x14ac:dyDescent="0.25">
      <c r="A22" s="1" t="s">
        <v>24</v>
      </c>
      <c r="B22" s="9"/>
      <c r="D22" s="1" t="s">
        <v>24</v>
      </c>
      <c r="E22" s="9"/>
      <c r="G22" s="1" t="s">
        <v>24</v>
      </c>
      <c r="H22" s="9"/>
      <c r="J22" s="1" t="s">
        <v>24</v>
      </c>
      <c r="K22" s="9"/>
      <c r="M22" s="1" t="s">
        <v>24</v>
      </c>
      <c r="N22" s="9"/>
      <c r="P22" s="1" t="s">
        <v>24</v>
      </c>
      <c r="Q22" s="9"/>
      <c r="S22" s="1" t="s">
        <v>24</v>
      </c>
      <c r="T22" s="9"/>
      <c r="V22" s="1" t="s">
        <v>24</v>
      </c>
      <c r="W22" s="9"/>
      <c r="Y22" s="1" t="s">
        <v>24</v>
      </c>
      <c r="Z22" s="9"/>
      <c r="AB22" s="1" t="s">
        <v>24</v>
      </c>
      <c r="AC22" s="9"/>
      <c r="AE22" s="1" t="s">
        <v>24</v>
      </c>
      <c r="AF22" s="9"/>
      <c r="AH22" s="1" t="s">
        <v>24</v>
      </c>
      <c r="AI22" s="9"/>
    </row>
    <row r="23" spans="1:35" ht="12.5" x14ac:dyDescent="0.25">
      <c r="A23" s="11"/>
      <c r="B23" s="17"/>
      <c r="D23" s="11"/>
      <c r="E23" s="17"/>
      <c r="G23" s="11"/>
      <c r="H23" s="17"/>
      <c r="J23" s="11"/>
      <c r="K23" s="17"/>
      <c r="M23" s="11"/>
      <c r="N23" s="17"/>
      <c r="P23" s="11"/>
      <c r="Q23" s="17"/>
      <c r="S23" s="11"/>
      <c r="T23" s="17"/>
      <c r="V23" s="11"/>
      <c r="W23" s="17"/>
      <c r="Y23" s="11"/>
      <c r="Z23" s="17"/>
      <c r="AB23" s="11"/>
      <c r="AC23" s="17"/>
      <c r="AE23" s="11"/>
      <c r="AF23" s="17"/>
      <c r="AH23" s="11"/>
      <c r="AI23" s="17"/>
    </row>
    <row r="24" spans="1:35" ht="12.5" x14ac:dyDescent="0.25">
      <c r="A24" s="2" t="s">
        <v>56</v>
      </c>
      <c r="B24" s="10" t="s">
        <v>2</v>
      </c>
      <c r="D24" s="11"/>
      <c r="E24" s="17"/>
      <c r="G24" s="11"/>
      <c r="H24" s="17"/>
      <c r="J24" s="2" t="s">
        <v>92</v>
      </c>
      <c r="K24" s="10" t="s">
        <v>2</v>
      </c>
      <c r="M24" s="11"/>
      <c r="N24" s="17"/>
      <c r="P24" s="11"/>
      <c r="Q24" s="17"/>
      <c r="S24" s="2" t="s">
        <v>105</v>
      </c>
      <c r="T24" s="10" t="s">
        <v>2</v>
      </c>
      <c r="V24" s="11"/>
      <c r="W24" s="17"/>
      <c r="Y24" s="11"/>
      <c r="Z24" s="17"/>
      <c r="AB24" s="2" t="s">
        <v>118</v>
      </c>
      <c r="AC24" s="10" t="s">
        <v>2</v>
      </c>
      <c r="AE24" s="11"/>
      <c r="AF24" s="17"/>
      <c r="AH24" s="2" t="s">
        <v>127</v>
      </c>
      <c r="AI24" s="10" t="s">
        <v>2</v>
      </c>
    </row>
    <row r="25" spans="1:35" ht="12.5" x14ac:dyDescent="0.25">
      <c r="A25" s="1" t="s">
        <v>21</v>
      </c>
      <c r="B25" s="9"/>
      <c r="D25" s="11"/>
      <c r="E25" s="17"/>
      <c r="G25" s="11"/>
      <c r="H25" s="17"/>
      <c r="J25" s="1" t="s">
        <v>21</v>
      </c>
      <c r="K25" s="9"/>
      <c r="M25" s="11"/>
      <c r="N25" s="17"/>
      <c r="P25" s="11"/>
      <c r="Q25" s="17"/>
      <c r="S25" s="1" t="s">
        <v>21</v>
      </c>
      <c r="T25" s="9"/>
      <c r="V25" s="11"/>
      <c r="W25" s="17"/>
      <c r="Y25" s="11"/>
      <c r="Z25" s="17"/>
      <c r="AB25" s="1" t="s">
        <v>21</v>
      </c>
      <c r="AC25" s="9"/>
      <c r="AE25" s="11"/>
      <c r="AF25" s="17"/>
      <c r="AH25" s="1" t="s">
        <v>21</v>
      </c>
      <c r="AI25" s="9"/>
    </row>
    <row r="26" spans="1:35" ht="12.5" x14ac:dyDescent="0.25">
      <c r="A26" s="1" t="s">
        <v>12</v>
      </c>
      <c r="B26" s="9"/>
      <c r="D26" s="11"/>
      <c r="E26" s="17"/>
      <c r="G26" s="11"/>
      <c r="H26" s="17"/>
      <c r="J26" s="1" t="s">
        <v>12</v>
      </c>
      <c r="K26" s="9"/>
      <c r="M26" s="11"/>
      <c r="N26" s="17"/>
      <c r="P26" s="11"/>
      <c r="Q26" s="17"/>
      <c r="S26" s="1" t="s">
        <v>12</v>
      </c>
      <c r="T26" s="9"/>
      <c r="V26" s="11"/>
      <c r="W26" s="17"/>
      <c r="Y26" s="11"/>
      <c r="Z26" s="17"/>
      <c r="AB26" s="1" t="s">
        <v>12</v>
      </c>
      <c r="AC26" s="9"/>
      <c r="AE26" s="11"/>
      <c r="AF26" s="17"/>
      <c r="AH26" s="1" t="s">
        <v>12</v>
      </c>
      <c r="AI26" s="9"/>
    </row>
    <row r="27" spans="1:35" ht="12.5" x14ac:dyDescent="0.25">
      <c r="A27" s="1" t="s">
        <v>24</v>
      </c>
      <c r="B27" s="9"/>
      <c r="D27" s="11"/>
      <c r="E27" s="17"/>
      <c r="G27" s="11"/>
      <c r="H27" s="17"/>
      <c r="J27" s="1" t="s">
        <v>24</v>
      </c>
      <c r="K27" s="9"/>
      <c r="M27" s="11"/>
      <c r="N27" s="17"/>
      <c r="P27" s="11"/>
      <c r="Q27" s="17"/>
      <c r="S27" s="1" t="s">
        <v>24</v>
      </c>
      <c r="T27" s="9"/>
      <c r="V27" s="11"/>
      <c r="W27" s="17"/>
      <c r="Y27" s="11"/>
      <c r="Z27" s="17"/>
      <c r="AB27" s="1" t="s">
        <v>24</v>
      </c>
      <c r="AC27" s="9"/>
      <c r="AE27" s="11"/>
      <c r="AF27" s="17"/>
      <c r="AH27" s="1" t="s">
        <v>24</v>
      </c>
      <c r="AI27" s="9"/>
    </row>
    <row r="28" spans="1:35" ht="12.5" x14ac:dyDescent="0.25">
      <c r="A28" s="1"/>
      <c r="B28" s="9"/>
      <c r="D28" s="11"/>
      <c r="E28" s="17"/>
      <c r="G28" s="1"/>
      <c r="H28" s="9"/>
      <c r="J28" s="1"/>
      <c r="K28" s="9"/>
      <c r="M28" s="11"/>
      <c r="N28" s="17"/>
      <c r="P28" s="11"/>
      <c r="Q28" s="17"/>
      <c r="S28" s="1"/>
      <c r="T28" s="9"/>
      <c r="V28" s="11"/>
      <c r="W28" s="17"/>
      <c r="Y28" s="11"/>
      <c r="Z28" s="17"/>
      <c r="AB28" s="1"/>
      <c r="AC28" s="9"/>
      <c r="AE28" s="11"/>
      <c r="AF28" s="17"/>
      <c r="AH28" s="1"/>
      <c r="AI28" s="9"/>
    </row>
    <row r="29" spans="1:35" ht="12.5" x14ac:dyDescent="0.25">
      <c r="B29" s="9"/>
      <c r="E29" s="9"/>
      <c r="H29" s="9"/>
      <c r="K29" s="9"/>
      <c r="N29" s="9"/>
      <c r="Q29" s="9"/>
      <c r="T29" s="9"/>
      <c r="V29" s="13"/>
      <c r="W29" s="17"/>
      <c r="Z29" s="9"/>
      <c r="AC29" s="9"/>
      <c r="AF29" s="9"/>
      <c r="AI29" s="9"/>
    </row>
    <row r="30" spans="1:35" ht="12.5" x14ac:dyDescent="0.25">
      <c r="B30" s="9"/>
      <c r="E30" s="9"/>
      <c r="H30" s="9"/>
      <c r="K30" s="9"/>
      <c r="N30" s="9"/>
      <c r="Q30" s="9"/>
      <c r="T30" s="9"/>
      <c r="W30" s="9"/>
      <c r="Z30" s="9"/>
      <c r="AC30" s="9"/>
      <c r="AF30" s="9"/>
      <c r="AI30" s="9"/>
    </row>
    <row r="31" spans="1:35" ht="12.5" x14ac:dyDescent="0.25">
      <c r="B31" s="9"/>
      <c r="E31" s="9"/>
      <c r="H31" s="9"/>
      <c r="K31" s="9"/>
      <c r="N31" s="9"/>
      <c r="Q31" s="9"/>
      <c r="T31" s="9"/>
      <c r="W31" s="9"/>
      <c r="Z31" s="9"/>
      <c r="AC31" s="9"/>
      <c r="AF31" s="9"/>
      <c r="AI31" s="9"/>
    </row>
    <row r="32" spans="1:35" ht="12.5" x14ac:dyDescent="0.25">
      <c r="A32" s="2" t="s">
        <v>20</v>
      </c>
      <c r="B32" s="2" t="s">
        <v>2</v>
      </c>
      <c r="D32" s="2" t="s">
        <v>20</v>
      </c>
      <c r="E32" s="2" t="s">
        <v>2</v>
      </c>
      <c r="G32" s="2" t="s">
        <v>20</v>
      </c>
      <c r="H32" s="2" t="s">
        <v>2</v>
      </c>
      <c r="J32" s="2" t="s">
        <v>20</v>
      </c>
      <c r="K32" s="2" t="s">
        <v>2</v>
      </c>
      <c r="M32" s="2" t="s">
        <v>20</v>
      </c>
      <c r="N32" s="2" t="s">
        <v>2</v>
      </c>
      <c r="P32" s="2" t="s">
        <v>20</v>
      </c>
      <c r="Q32" s="2" t="s">
        <v>2</v>
      </c>
      <c r="S32" s="2" t="s">
        <v>20</v>
      </c>
      <c r="T32" s="2" t="s">
        <v>2</v>
      </c>
      <c r="V32" s="2" t="s">
        <v>20</v>
      </c>
      <c r="W32" s="2" t="s">
        <v>2</v>
      </c>
      <c r="Y32" s="2" t="s">
        <v>20</v>
      </c>
      <c r="Z32" s="2" t="s">
        <v>2</v>
      </c>
      <c r="AB32" s="2" t="s">
        <v>20</v>
      </c>
      <c r="AC32" s="2" t="s">
        <v>2</v>
      </c>
      <c r="AE32" s="2" t="s">
        <v>20</v>
      </c>
      <c r="AF32" s="2" t="s">
        <v>2</v>
      </c>
      <c r="AH32" s="2" t="s">
        <v>20</v>
      </c>
      <c r="AI32" s="2" t="s">
        <v>2</v>
      </c>
    </row>
    <row r="33" spans="1:35" ht="12.5" x14ac:dyDescent="0.25">
      <c r="A33" s="1" t="s">
        <v>22</v>
      </c>
      <c r="B33" s="1">
        <v>1000</v>
      </c>
      <c r="D33" s="1" t="s">
        <v>22</v>
      </c>
      <c r="E33" s="1">
        <v>1000</v>
      </c>
      <c r="G33" s="1" t="s">
        <v>22</v>
      </c>
      <c r="H33" s="1">
        <v>1000</v>
      </c>
      <c r="J33" s="1" t="s">
        <v>22</v>
      </c>
      <c r="K33" s="1">
        <v>1000</v>
      </c>
      <c r="M33" s="1" t="s">
        <v>22</v>
      </c>
      <c r="N33" s="1">
        <v>1000</v>
      </c>
      <c r="P33" s="1" t="s">
        <v>22</v>
      </c>
      <c r="Q33" s="1">
        <v>1000</v>
      </c>
      <c r="S33" s="1" t="s">
        <v>22</v>
      </c>
      <c r="T33" s="1">
        <v>1000</v>
      </c>
      <c r="V33" s="1" t="s">
        <v>22</v>
      </c>
      <c r="W33" s="1">
        <v>1000</v>
      </c>
      <c r="Y33" s="1" t="s">
        <v>22</v>
      </c>
      <c r="Z33" s="1">
        <v>1000</v>
      </c>
      <c r="AB33" s="1" t="s">
        <v>22</v>
      </c>
      <c r="AC33" s="1">
        <v>1000</v>
      </c>
      <c r="AE33" s="1" t="s">
        <v>22</v>
      </c>
      <c r="AF33" s="1">
        <v>1000</v>
      </c>
      <c r="AH33" s="1" t="s">
        <v>22</v>
      </c>
      <c r="AI33" s="1">
        <v>1000</v>
      </c>
    </row>
    <row r="34" spans="1:35" ht="12.5" x14ac:dyDescent="0.25">
      <c r="A34" s="1" t="s">
        <v>23</v>
      </c>
      <c r="B34" s="1"/>
      <c r="D34" s="1" t="s">
        <v>23</v>
      </c>
      <c r="E34" s="1"/>
      <c r="G34" s="1" t="s">
        <v>23</v>
      </c>
      <c r="H34" s="1"/>
      <c r="J34" s="1" t="s">
        <v>23</v>
      </c>
      <c r="K34" s="1"/>
      <c r="M34" s="1" t="s">
        <v>23</v>
      </c>
      <c r="N34" s="1"/>
      <c r="P34" s="1" t="s">
        <v>23</v>
      </c>
      <c r="Q34" s="1"/>
      <c r="S34" s="1" t="s">
        <v>23</v>
      </c>
      <c r="T34" s="1"/>
      <c r="V34" s="1" t="s">
        <v>23</v>
      </c>
      <c r="W34" s="1"/>
      <c r="Y34" s="1" t="s">
        <v>23</v>
      </c>
      <c r="Z34" s="1"/>
      <c r="AB34" s="1" t="s">
        <v>23</v>
      </c>
      <c r="AC34" s="1"/>
      <c r="AE34" s="1" t="s">
        <v>23</v>
      </c>
      <c r="AF34" s="1"/>
      <c r="AH34" s="1" t="s">
        <v>23</v>
      </c>
      <c r="AI34" s="1"/>
    </row>
    <row r="35" spans="1:35" ht="12.5" x14ac:dyDescent="0.25">
      <c r="A35" s="1" t="s">
        <v>25</v>
      </c>
      <c r="D35" s="1" t="s">
        <v>25</v>
      </c>
      <c r="G35" s="1" t="s">
        <v>25</v>
      </c>
      <c r="J35" s="1" t="s">
        <v>25</v>
      </c>
      <c r="M35" s="1" t="s">
        <v>25</v>
      </c>
      <c r="P35" s="1" t="s">
        <v>25</v>
      </c>
      <c r="S35" s="1" t="s">
        <v>25</v>
      </c>
      <c r="V35" s="1" t="s">
        <v>25</v>
      </c>
      <c r="Y35" s="1" t="s">
        <v>25</v>
      </c>
      <c r="AB35" s="1" t="s">
        <v>25</v>
      </c>
      <c r="AE35" s="1" t="s">
        <v>25</v>
      </c>
      <c r="AH35" s="1" t="s">
        <v>25</v>
      </c>
    </row>
    <row r="36" spans="1:35" ht="12.5" x14ac:dyDescent="0.25"/>
    <row r="37" spans="1:35" ht="12.5" x14ac:dyDescent="0.25">
      <c r="A37" s="1" t="s">
        <v>26</v>
      </c>
      <c r="D37" s="1" t="s">
        <v>26</v>
      </c>
      <c r="G37" s="1" t="s">
        <v>26</v>
      </c>
      <c r="J37" s="1" t="s">
        <v>26</v>
      </c>
      <c r="M37" s="1" t="s">
        <v>26</v>
      </c>
      <c r="P37" s="1" t="s">
        <v>26</v>
      </c>
      <c r="S37" s="1" t="s">
        <v>26</v>
      </c>
      <c r="V37" s="1" t="s">
        <v>26</v>
      </c>
      <c r="Y37" s="1" t="s">
        <v>26</v>
      </c>
      <c r="AB37" s="1" t="s">
        <v>26</v>
      </c>
      <c r="AE37" s="1" t="s">
        <v>26</v>
      </c>
      <c r="AH37" s="1" t="s">
        <v>26</v>
      </c>
    </row>
    <row r="38" spans="1:35" ht="12.5" x14ac:dyDescent="0.25">
      <c r="A38" t="s">
        <v>8</v>
      </c>
      <c r="D38" t="s">
        <v>8</v>
      </c>
      <c r="G38" t="s">
        <v>8</v>
      </c>
      <c r="J38" t="s">
        <v>8</v>
      </c>
      <c r="M38" t="s">
        <v>8</v>
      </c>
      <c r="P38" t="s">
        <v>8</v>
      </c>
      <c r="S38" t="s">
        <v>8</v>
      </c>
      <c r="V38" t="s">
        <v>8</v>
      </c>
      <c r="Y38" t="s">
        <v>8</v>
      </c>
      <c r="AB38" t="s">
        <v>8</v>
      </c>
      <c r="AE38" t="s">
        <v>8</v>
      </c>
      <c r="AH38" t="s">
        <v>8</v>
      </c>
    </row>
    <row r="39" spans="1:35" ht="12.5" x14ac:dyDescent="0.25">
      <c r="A39" s="1" t="s">
        <v>58</v>
      </c>
      <c r="D39" s="1" t="s">
        <v>58</v>
      </c>
      <c r="G39" s="1" t="s">
        <v>58</v>
      </c>
      <c r="J39" s="1" t="s">
        <v>58</v>
      </c>
      <c r="M39" s="1" t="s">
        <v>58</v>
      </c>
      <c r="P39" s="1" t="s">
        <v>58</v>
      </c>
      <c r="S39" s="1" t="s">
        <v>58</v>
      </c>
      <c r="V39" s="1" t="s">
        <v>58</v>
      </c>
      <c r="Y39" s="1" t="s">
        <v>58</v>
      </c>
      <c r="AB39" s="1" t="s">
        <v>58</v>
      </c>
      <c r="AE39" s="1" t="s">
        <v>58</v>
      </c>
      <c r="AH39" s="1" t="s">
        <v>58</v>
      </c>
    </row>
    <row r="40" spans="1:35" ht="12.5" x14ac:dyDescent="0.25">
      <c r="B40" s="9"/>
      <c r="H40" s="9"/>
    </row>
    <row r="41" spans="1:35" ht="12.5" x14ac:dyDescent="0.25">
      <c r="B41" s="9"/>
    </row>
    <row r="42" spans="1:35" ht="12.5" x14ac:dyDescent="0.25">
      <c r="B42" s="9"/>
    </row>
    <row r="43" spans="1:35" ht="12.5" x14ac:dyDescent="0.25">
      <c r="B43" s="9"/>
    </row>
    <row r="44" spans="1:35" ht="12.5" x14ac:dyDescent="0.25">
      <c r="B44" s="9"/>
    </row>
    <row r="45" spans="1:35" ht="12.5" x14ac:dyDescent="0.25">
      <c r="B45" s="9"/>
    </row>
    <row r="46" spans="1:35" ht="12.5" x14ac:dyDescent="0.25">
      <c r="B46" s="9"/>
    </row>
    <row r="47" spans="1:35" ht="12.5" x14ac:dyDescent="0.25">
      <c r="B47" s="9"/>
    </row>
    <row r="48" spans="1:35" ht="12.5" x14ac:dyDescent="0.25">
      <c r="B48" s="9"/>
    </row>
    <row r="49" spans="2:2" ht="12.5" x14ac:dyDescent="0.25">
      <c r="B49" s="9"/>
    </row>
    <row r="50" spans="2:2" ht="12.5" x14ac:dyDescent="0.25">
      <c r="B50" s="9"/>
    </row>
    <row r="51" spans="2:2" ht="12.5" x14ac:dyDescent="0.25">
      <c r="B51" s="9"/>
    </row>
    <row r="52" spans="2:2" ht="12.5" x14ac:dyDescent="0.25">
      <c r="B52" s="9"/>
    </row>
    <row r="53" spans="2:2" ht="12.5" x14ac:dyDescent="0.25">
      <c r="B53" s="9"/>
    </row>
    <row r="54" spans="2:2" ht="12.5" x14ac:dyDescent="0.25">
      <c r="B54" s="9"/>
    </row>
    <row r="55" spans="2:2" ht="12.5" x14ac:dyDescent="0.25">
      <c r="B55" s="9"/>
    </row>
    <row r="56" spans="2:2" ht="12.5" x14ac:dyDescent="0.25">
      <c r="B56" s="9"/>
    </row>
    <row r="57" spans="2:2" ht="12.5" x14ac:dyDescent="0.25">
      <c r="B57" s="9"/>
    </row>
    <row r="58" spans="2:2" ht="12.5" x14ac:dyDescent="0.25">
      <c r="B58" s="9"/>
    </row>
    <row r="59" spans="2:2" ht="12.5" x14ac:dyDescent="0.25">
      <c r="B59" s="9"/>
    </row>
    <row r="60" spans="2:2" ht="12.5" x14ac:dyDescent="0.25">
      <c r="B60" s="9"/>
    </row>
    <row r="61" spans="2:2" ht="12.5" x14ac:dyDescent="0.25">
      <c r="B61" s="9"/>
    </row>
    <row r="62" spans="2:2" ht="12.5" x14ac:dyDescent="0.25">
      <c r="B62" s="9"/>
    </row>
    <row r="63" spans="2:2" ht="12.5" x14ac:dyDescent="0.25">
      <c r="B63" s="9"/>
    </row>
    <row r="64" spans="2:2" ht="12.5" x14ac:dyDescent="0.25">
      <c r="B64" s="9"/>
    </row>
    <row r="65" spans="2:2" ht="12.5" x14ac:dyDescent="0.25">
      <c r="B65" s="9"/>
    </row>
    <row r="66" spans="2:2" ht="12.5" x14ac:dyDescent="0.25">
      <c r="B66" s="9"/>
    </row>
    <row r="67" spans="2:2" ht="12.5" x14ac:dyDescent="0.25">
      <c r="B67" s="9"/>
    </row>
    <row r="68" spans="2:2" ht="12.5" x14ac:dyDescent="0.25">
      <c r="B68" s="9"/>
    </row>
    <row r="69" spans="2:2" ht="12.5" x14ac:dyDescent="0.25">
      <c r="B69" s="9"/>
    </row>
    <row r="70" spans="2:2" ht="12.5" x14ac:dyDescent="0.25">
      <c r="B70" s="9"/>
    </row>
    <row r="71" spans="2:2" ht="12.5" x14ac:dyDescent="0.25">
      <c r="B71" s="9"/>
    </row>
    <row r="72" spans="2:2" ht="12.5" x14ac:dyDescent="0.25">
      <c r="B72" s="9"/>
    </row>
    <row r="73" spans="2:2" ht="12.5" x14ac:dyDescent="0.25">
      <c r="B73" s="9"/>
    </row>
    <row r="74" spans="2:2" ht="12.5" x14ac:dyDescent="0.25">
      <c r="B74" s="9"/>
    </row>
    <row r="75" spans="2:2" ht="12.5" x14ac:dyDescent="0.25">
      <c r="B75" s="9"/>
    </row>
    <row r="76" spans="2:2" ht="12.5" x14ac:dyDescent="0.25">
      <c r="B76" s="9"/>
    </row>
    <row r="77" spans="2:2" ht="12.5" x14ac:dyDescent="0.25">
      <c r="B77" s="9"/>
    </row>
    <row r="78" spans="2:2" ht="12.5" x14ac:dyDescent="0.25">
      <c r="B78" s="9"/>
    </row>
    <row r="79" spans="2:2" ht="12.5" x14ac:dyDescent="0.25">
      <c r="B79" s="9"/>
    </row>
    <row r="80" spans="2:2" ht="12.5" x14ac:dyDescent="0.25">
      <c r="B80" s="9"/>
    </row>
    <row r="81" spans="2:2" ht="12.5" x14ac:dyDescent="0.25">
      <c r="B81" s="9"/>
    </row>
    <row r="82" spans="2:2" ht="12.5" x14ac:dyDescent="0.25">
      <c r="B82" s="9"/>
    </row>
    <row r="83" spans="2:2" ht="12.5" x14ac:dyDescent="0.25">
      <c r="B83" s="9"/>
    </row>
    <row r="84" spans="2:2" ht="12.5" x14ac:dyDescent="0.25">
      <c r="B84" s="9"/>
    </row>
    <row r="85" spans="2:2" ht="12.5" x14ac:dyDescent="0.25">
      <c r="B85" s="9"/>
    </row>
    <row r="86" spans="2:2" ht="12.5" x14ac:dyDescent="0.25">
      <c r="B86" s="9"/>
    </row>
    <row r="87" spans="2:2" ht="12.5" x14ac:dyDescent="0.25">
      <c r="B87" s="9"/>
    </row>
    <row r="88" spans="2:2" ht="12.5" x14ac:dyDescent="0.25">
      <c r="B88" s="9"/>
    </row>
    <row r="89" spans="2:2" ht="12.5" x14ac:dyDescent="0.25">
      <c r="B89" s="9"/>
    </row>
    <row r="90" spans="2:2" ht="12.5" x14ac:dyDescent="0.25">
      <c r="B90" s="9"/>
    </row>
    <row r="91" spans="2:2" ht="12.5" x14ac:dyDescent="0.25">
      <c r="B91" s="9"/>
    </row>
    <row r="92" spans="2:2" ht="12.5" x14ac:dyDescent="0.25">
      <c r="B92" s="9"/>
    </row>
    <row r="93" spans="2:2" ht="12.5" x14ac:dyDescent="0.25">
      <c r="B93" s="9"/>
    </row>
    <row r="94" spans="2:2" ht="12.5" x14ac:dyDescent="0.25">
      <c r="B94" s="9"/>
    </row>
    <row r="95" spans="2:2" ht="12.5" x14ac:dyDescent="0.25">
      <c r="B95" s="9"/>
    </row>
    <row r="96" spans="2:2" ht="12.5" x14ac:dyDescent="0.25">
      <c r="B96" s="9"/>
    </row>
    <row r="97" spans="2:2" ht="12.5" x14ac:dyDescent="0.25">
      <c r="B97" s="9"/>
    </row>
    <row r="98" spans="2:2" ht="12.5" x14ac:dyDescent="0.25">
      <c r="B98" s="9"/>
    </row>
    <row r="99" spans="2:2" ht="12.5" x14ac:dyDescent="0.25">
      <c r="B99" s="9"/>
    </row>
    <row r="100" spans="2:2" ht="12.5" x14ac:dyDescent="0.25">
      <c r="B100" s="9"/>
    </row>
    <row r="101" spans="2:2" ht="12.5" x14ac:dyDescent="0.25">
      <c r="B101" s="9"/>
    </row>
    <row r="102" spans="2:2" ht="12.5" x14ac:dyDescent="0.25">
      <c r="B102" s="9"/>
    </row>
    <row r="103" spans="2:2" ht="12.5" x14ac:dyDescent="0.25">
      <c r="B103" s="9"/>
    </row>
    <row r="104" spans="2:2" ht="12.5" x14ac:dyDescent="0.25">
      <c r="B104" s="9"/>
    </row>
    <row r="105" spans="2:2" ht="12.5" x14ac:dyDescent="0.25">
      <c r="B105" s="9"/>
    </row>
    <row r="106" spans="2:2" ht="12.5" x14ac:dyDescent="0.25">
      <c r="B106" s="9"/>
    </row>
    <row r="107" spans="2:2" ht="12.5" x14ac:dyDescent="0.25">
      <c r="B107" s="9"/>
    </row>
    <row r="108" spans="2:2" ht="12.5" x14ac:dyDescent="0.25">
      <c r="B108" s="9"/>
    </row>
    <row r="109" spans="2:2" ht="12.5" x14ac:dyDescent="0.25">
      <c r="B109" s="9"/>
    </row>
    <row r="110" spans="2:2" ht="12.5" x14ac:dyDescent="0.25">
      <c r="B110" s="9"/>
    </row>
    <row r="111" spans="2:2" ht="12.5" x14ac:dyDescent="0.25">
      <c r="B111" s="9"/>
    </row>
    <row r="112" spans="2:2" ht="12.5" x14ac:dyDescent="0.25">
      <c r="B112" s="9"/>
    </row>
    <row r="113" spans="2:2" ht="12.5" x14ac:dyDescent="0.25">
      <c r="B113" s="9"/>
    </row>
    <row r="114" spans="2:2" ht="12.5" x14ac:dyDescent="0.25">
      <c r="B114" s="9"/>
    </row>
    <row r="115" spans="2:2" ht="12.5" x14ac:dyDescent="0.25">
      <c r="B115" s="9"/>
    </row>
    <row r="116" spans="2:2" ht="12.5" x14ac:dyDescent="0.25">
      <c r="B116" s="9"/>
    </row>
    <row r="117" spans="2:2" ht="12.5" x14ac:dyDescent="0.25">
      <c r="B117" s="9"/>
    </row>
    <row r="118" spans="2:2" ht="12.5" x14ac:dyDescent="0.25">
      <c r="B118" s="9"/>
    </row>
    <row r="119" spans="2:2" ht="12.5" x14ac:dyDescent="0.25">
      <c r="B119" s="9"/>
    </row>
    <row r="120" spans="2:2" ht="12.5" x14ac:dyDescent="0.25">
      <c r="B120" s="9"/>
    </row>
    <row r="121" spans="2:2" ht="12.5" x14ac:dyDescent="0.25">
      <c r="B121" s="9"/>
    </row>
    <row r="122" spans="2:2" ht="12.5" x14ac:dyDescent="0.25">
      <c r="B122" s="9"/>
    </row>
    <row r="123" spans="2:2" ht="12.5" x14ac:dyDescent="0.25">
      <c r="B123" s="9"/>
    </row>
    <row r="124" spans="2:2" ht="12.5" x14ac:dyDescent="0.25">
      <c r="B124" s="9"/>
    </row>
    <row r="125" spans="2:2" ht="12.5" x14ac:dyDescent="0.25">
      <c r="B125" s="9"/>
    </row>
    <row r="126" spans="2:2" ht="12.5" x14ac:dyDescent="0.25">
      <c r="B126" s="9"/>
    </row>
    <row r="127" spans="2:2" ht="12.5" x14ac:dyDescent="0.25">
      <c r="B127" s="9"/>
    </row>
    <row r="128" spans="2:2" ht="12.5" x14ac:dyDescent="0.25">
      <c r="B128" s="9"/>
    </row>
    <row r="129" spans="2:2" ht="12.5" x14ac:dyDescent="0.25">
      <c r="B129" s="9"/>
    </row>
    <row r="130" spans="2:2" ht="12.5" x14ac:dyDescent="0.25">
      <c r="B130" s="9"/>
    </row>
    <row r="131" spans="2:2" ht="12.5" x14ac:dyDescent="0.25">
      <c r="B131" s="9"/>
    </row>
    <row r="132" spans="2:2" ht="12.5" x14ac:dyDescent="0.25">
      <c r="B132" s="9"/>
    </row>
    <row r="133" spans="2:2" ht="12.5" x14ac:dyDescent="0.25">
      <c r="B133" s="9"/>
    </row>
    <row r="134" spans="2:2" ht="12.5" x14ac:dyDescent="0.25">
      <c r="B134" s="9"/>
    </row>
    <row r="135" spans="2:2" ht="12.5" x14ac:dyDescent="0.25">
      <c r="B135" s="9"/>
    </row>
    <row r="136" spans="2:2" ht="12.5" x14ac:dyDescent="0.25">
      <c r="B136" s="9"/>
    </row>
    <row r="137" spans="2:2" ht="12.5" x14ac:dyDescent="0.25">
      <c r="B137" s="9"/>
    </row>
    <row r="138" spans="2:2" ht="12.5" x14ac:dyDescent="0.25">
      <c r="B138" s="9"/>
    </row>
    <row r="139" spans="2:2" ht="12.5" x14ac:dyDescent="0.25">
      <c r="B139" s="9"/>
    </row>
    <row r="140" spans="2:2" ht="12.5" x14ac:dyDescent="0.25">
      <c r="B140" s="9"/>
    </row>
    <row r="141" spans="2:2" ht="12.5" x14ac:dyDescent="0.25">
      <c r="B141" s="9"/>
    </row>
    <row r="142" spans="2:2" ht="12.5" x14ac:dyDescent="0.25">
      <c r="B142" s="9"/>
    </row>
    <row r="143" spans="2:2" ht="12.5" x14ac:dyDescent="0.25">
      <c r="B143" s="9"/>
    </row>
    <row r="144" spans="2:2" ht="12.5" x14ac:dyDescent="0.25">
      <c r="B144" s="9"/>
    </row>
    <row r="145" spans="2:2" ht="12.5" x14ac:dyDescent="0.25">
      <c r="B145" s="9"/>
    </row>
    <row r="146" spans="2:2" ht="12.5" x14ac:dyDescent="0.25">
      <c r="B146" s="9"/>
    </row>
    <row r="147" spans="2:2" ht="12.5" x14ac:dyDescent="0.25">
      <c r="B147" s="9"/>
    </row>
    <row r="148" spans="2:2" ht="12.5" x14ac:dyDescent="0.25">
      <c r="B148" s="9"/>
    </row>
    <row r="149" spans="2:2" ht="12.5" x14ac:dyDescent="0.25">
      <c r="B149" s="9"/>
    </row>
    <row r="150" spans="2:2" ht="12.5" x14ac:dyDescent="0.25">
      <c r="B150" s="9"/>
    </row>
    <row r="151" spans="2:2" ht="12.5" x14ac:dyDescent="0.25">
      <c r="B151" s="9"/>
    </row>
    <row r="152" spans="2:2" ht="12.5" x14ac:dyDescent="0.25">
      <c r="B152" s="9"/>
    </row>
    <row r="153" spans="2:2" ht="12.5" x14ac:dyDescent="0.25">
      <c r="B153" s="9"/>
    </row>
    <row r="154" spans="2:2" ht="12.5" x14ac:dyDescent="0.25">
      <c r="B154" s="9"/>
    </row>
    <row r="155" spans="2:2" ht="12.5" x14ac:dyDescent="0.25">
      <c r="B155" s="9"/>
    </row>
    <row r="156" spans="2:2" ht="12.5" x14ac:dyDescent="0.25">
      <c r="B156" s="9"/>
    </row>
    <row r="157" spans="2:2" ht="12.5" x14ac:dyDescent="0.25">
      <c r="B157" s="9"/>
    </row>
    <row r="158" spans="2:2" ht="12.5" x14ac:dyDescent="0.25">
      <c r="B158" s="9"/>
    </row>
    <row r="159" spans="2:2" ht="12.5" x14ac:dyDescent="0.25">
      <c r="B159" s="9"/>
    </row>
    <row r="160" spans="2:2" ht="12.5" x14ac:dyDescent="0.25">
      <c r="B160" s="9"/>
    </row>
    <row r="161" spans="2:2" ht="12.5" x14ac:dyDescent="0.25">
      <c r="B161" s="9"/>
    </row>
    <row r="162" spans="2:2" ht="12.5" x14ac:dyDescent="0.25">
      <c r="B162" s="9"/>
    </row>
    <row r="163" spans="2:2" ht="12.5" x14ac:dyDescent="0.25">
      <c r="B163" s="9"/>
    </row>
    <row r="164" spans="2:2" ht="12.5" x14ac:dyDescent="0.25">
      <c r="B164" s="9"/>
    </row>
    <row r="165" spans="2:2" ht="12.5" x14ac:dyDescent="0.25">
      <c r="B165" s="9"/>
    </row>
    <row r="166" spans="2:2" ht="12.5" x14ac:dyDescent="0.25">
      <c r="B166" s="9"/>
    </row>
    <row r="167" spans="2:2" ht="12.5" x14ac:dyDescent="0.25">
      <c r="B167" s="9"/>
    </row>
    <row r="168" spans="2:2" ht="12.5" x14ac:dyDescent="0.25">
      <c r="B168" s="9"/>
    </row>
    <row r="169" spans="2:2" ht="12.5" x14ac:dyDescent="0.25">
      <c r="B169" s="9"/>
    </row>
    <row r="170" spans="2:2" ht="12.5" x14ac:dyDescent="0.25">
      <c r="B170" s="9"/>
    </row>
    <row r="171" spans="2:2" ht="12.5" x14ac:dyDescent="0.25">
      <c r="B171" s="9"/>
    </row>
    <row r="172" spans="2:2" ht="12.5" x14ac:dyDescent="0.25">
      <c r="B172" s="9"/>
    </row>
    <row r="173" spans="2:2" ht="12.5" x14ac:dyDescent="0.25">
      <c r="B173" s="9"/>
    </row>
    <row r="174" spans="2:2" ht="12.5" x14ac:dyDescent="0.25">
      <c r="B174" s="9"/>
    </row>
    <row r="175" spans="2:2" ht="12.5" x14ac:dyDescent="0.25">
      <c r="B175" s="9"/>
    </row>
    <row r="176" spans="2:2" ht="12.5" x14ac:dyDescent="0.25">
      <c r="B176" s="9"/>
    </row>
    <row r="177" spans="2:2" ht="12.5" x14ac:dyDescent="0.25">
      <c r="B177" s="9"/>
    </row>
    <row r="178" spans="2:2" ht="12.5" x14ac:dyDescent="0.25">
      <c r="B178" s="9"/>
    </row>
    <row r="179" spans="2:2" ht="12.5" x14ac:dyDescent="0.25">
      <c r="B179" s="9"/>
    </row>
    <row r="180" spans="2:2" ht="12.5" x14ac:dyDescent="0.25">
      <c r="B180" s="9"/>
    </row>
    <row r="181" spans="2:2" ht="12.5" x14ac:dyDescent="0.25">
      <c r="B181" s="9"/>
    </row>
    <row r="182" spans="2:2" ht="12.5" x14ac:dyDescent="0.25">
      <c r="B182" s="9"/>
    </row>
    <row r="183" spans="2:2" ht="12.5" x14ac:dyDescent="0.25">
      <c r="B183" s="9"/>
    </row>
    <row r="184" spans="2:2" ht="12.5" x14ac:dyDescent="0.25">
      <c r="B184" s="9"/>
    </row>
    <row r="185" spans="2:2" ht="12.5" x14ac:dyDescent="0.25">
      <c r="B185" s="9"/>
    </row>
    <row r="186" spans="2:2" ht="12.5" x14ac:dyDescent="0.25">
      <c r="B186" s="9"/>
    </row>
    <row r="187" spans="2:2" ht="12.5" x14ac:dyDescent="0.25">
      <c r="B187" s="9"/>
    </row>
    <row r="188" spans="2:2" ht="12.5" x14ac:dyDescent="0.25">
      <c r="B188" s="9"/>
    </row>
    <row r="189" spans="2:2" ht="12.5" x14ac:dyDescent="0.25">
      <c r="B189" s="9"/>
    </row>
    <row r="190" spans="2:2" ht="12.5" x14ac:dyDescent="0.25">
      <c r="B190" s="9"/>
    </row>
    <row r="191" spans="2:2" ht="12.5" x14ac:dyDescent="0.25">
      <c r="B191" s="9"/>
    </row>
    <row r="192" spans="2:2" ht="12.5" x14ac:dyDescent="0.25">
      <c r="B192" s="9"/>
    </row>
    <row r="193" spans="2:2" ht="12.5" x14ac:dyDescent="0.25">
      <c r="B193" s="9"/>
    </row>
    <row r="194" spans="2:2" ht="12.5" x14ac:dyDescent="0.25">
      <c r="B194" s="9"/>
    </row>
    <row r="195" spans="2:2" ht="12.5" x14ac:dyDescent="0.25">
      <c r="B195" s="9"/>
    </row>
    <row r="196" spans="2:2" ht="12.5" x14ac:dyDescent="0.25">
      <c r="B196" s="9"/>
    </row>
    <row r="197" spans="2:2" ht="12.5" x14ac:dyDescent="0.25">
      <c r="B197" s="9"/>
    </row>
    <row r="198" spans="2:2" ht="12.5" x14ac:dyDescent="0.25">
      <c r="B198" s="9"/>
    </row>
    <row r="199" spans="2:2" ht="12.5" x14ac:dyDescent="0.25">
      <c r="B199" s="9"/>
    </row>
    <row r="200" spans="2:2" ht="12.5" x14ac:dyDescent="0.25">
      <c r="B200" s="9"/>
    </row>
    <row r="201" spans="2:2" ht="12.5" x14ac:dyDescent="0.25">
      <c r="B201" s="9"/>
    </row>
    <row r="202" spans="2:2" ht="12.5" x14ac:dyDescent="0.25">
      <c r="B202" s="9"/>
    </row>
    <row r="203" spans="2:2" ht="12.5" x14ac:dyDescent="0.25">
      <c r="B203" s="9"/>
    </row>
    <row r="204" spans="2:2" ht="12.5" x14ac:dyDescent="0.25">
      <c r="B204" s="9"/>
    </row>
    <row r="205" spans="2:2" ht="12.5" x14ac:dyDescent="0.25">
      <c r="B205" s="9"/>
    </row>
    <row r="206" spans="2:2" ht="12.5" x14ac:dyDescent="0.25">
      <c r="B206" s="9"/>
    </row>
    <row r="207" spans="2:2" ht="12.5" x14ac:dyDescent="0.25">
      <c r="B207" s="9"/>
    </row>
    <row r="208" spans="2:2" ht="12.5" x14ac:dyDescent="0.25">
      <c r="B208" s="9"/>
    </row>
    <row r="209" spans="2:2" ht="12.5" x14ac:dyDescent="0.25">
      <c r="B209" s="9"/>
    </row>
    <row r="210" spans="2:2" ht="12.5" x14ac:dyDescent="0.25">
      <c r="B210" s="9"/>
    </row>
    <row r="211" spans="2:2" ht="12.5" x14ac:dyDescent="0.25">
      <c r="B211" s="9"/>
    </row>
    <row r="212" spans="2:2" ht="12.5" x14ac:dyDescent="0.25">
      <c r="B212" s="9"/>
    </row>
    <row r="213" spans="2:2" ht="12.5" x14ac:dyDescent="0.25">
      <c r="B213" s="9"/>
    </row>
    <row r="214" spans="2:2" ht="12.5" x14ac:dyDescent="0.25">
      <c r="B214" s="9"/>
    </row>
    <row r="215" spans="2:2" ht="12.5" x14ac:dyDescent="0.25">
      <c r="B215" s="9"/>
    </row>
    <row r="216" spans="2:2" ht="12.5" x14ac:dyDescent="0.25">
      <c r="B216" s="9"/>
    </row>
    <row r="217" spans="2:2" ht="12.5" x14ac:dyDescent="0.25">
      <c r="B217" s="9"/>
    </row>
    <row r="218" spans="2:2" ht="12.5" x14ac:dyDescent="0.25">
      <c r="B218" s="9"/>
    </row>
    <row r="219" spans="2:2" ht="12.5" x14ac:dyDescent="0.25">
      <c r="B219" s="9"/>
    </row>
    <row r="220" spans="2:2" ht="12.5" x14ac:dyDescent="0.25">
      <c r="B220" s="9"/>
    </row>
    <row r="221" spans="2:2" ht="12.5" x14ac:dyDescent="0.25">
      <c r="B221" s="9"/>
    </row>
    <row r="222" spans="2:2" ht="12.5" x14ac:dyDescent="0.25">
      <c r="B222" s="9"/>
    </row>
    <row r="223" spans="2:2" ht="12.5" x14ac:dyDescent="0.25">
      <c r="B223" s="9"/>
    </row>
    <row r="224" spans="2:2" ht="12.5" x14ac:dyDescent="0.25">
      <c r="B224" s="9"/>
    </row>
    <row r="225" spans="2:2" ht="12.5" x14ac:dyDescent="0.25">
      <c r="B225" s="9"/>
    </row>
    <row r="226" spans="2:2" ht="12.5" x14ac:dyDescent="0.25">
      <c r="B226" s="9"/>
    </row>
    <row r="227" spans="2:2" ht="12.5" x14ac:dyDescent="0.25">
      <c r="B227" s="9"/>
    </row>
    <row r="228" spans="2:2" ht="12.5" x14ac:dyDescent="0.25">
      <c r="B228" s="9"/>
    </row>
    <row r="229" spans="2:2" ht="12.5" x14ac:dyDescent="0.25">
      <c r="B229" s="9"/>
    </row>
    <row r="230" spans="2:2" ht="12.5" x14ac:dyDescent="0.25">
      <c r="B230" s="9"/>
    </row>
    <row r="231" spans="2:2" ht="12.5" x14ac:dyDescent="0.25">
      <c r="B231" s="9"/>
    </row>
    <row r="232" spans="2:2" ht="12.5" x14ac:dyDescent="0.25">
      <c r="B232" s="9"/>
    </row>
    <row r="233" spans="2:2" ht="12.5" x14ac:dyDescent="0.25">
      <c r="B233" s="9"/>
    </row>
    <row r="234" spans="2:2" ht="12.5" x14ac:dyDescent="0.25">
      <c r="B234" s="9"/>
    </row>
    <row r="235" spans="2:2" ht="12.5" x14ac:dyDescent="0.25">
      <c r="B235" s="9"/>
    </row>
    <row r="236" spans="2:2" ht="12.5" x14ac:dyDescent="0.25">
      <c r="B236" s="9"/>
    </row>
    <row r="237" spans="2:2" ht="12.5" x14ac:dyDescent="0.25">
      <c r="B237" s="9"/>
    </row>
    <row r="238" spans="2:2" ht="12.5" x14ac:dyDescent="0.25">
      <c r="B238" s="9"/>
    </row>
    <row r="239" spans="2:2" ht="12.5" x14ac:dyDescent="0.25">
      <c r="B239" s="9"/>
    </row>
    <row r="240" spans="2:2" ht="12.5" x14ac:dyDescent="0.25">
      <c r="B240" s="9"/>
    </row>
    <row r="241" spans="2:2" ht="12.5" x14ac:dyDescent="0.25">
      <c r="B241" s="9"/>
    </row>
    <row r="242" spans="2:2" ht="12.5" x14ac:dyDescent="0.25">
      <c r="B242" s="9"/>
    </row>
    <row r="243" spans="2:2" ht="12.5" x14ac:dyDescent="0.25">
      <c r="B243" s="9"/>
    </row>
    <row r="244" spans="2:2" ht="12.5" x14ac:dyDescent="0.25">
      <c r="B244" s="9"/>
    </row>
    <row r="245" spans="2:2" ht="12.5" x14ac:dyDescent="0.25">
      <c r="B245" s="9"/>
    </row>
    <row r="246" spans="2:2" ht="12.5" x14ac:dyDescent="0.25">
      <c r="B246" s="9"/>
    </row>
    <row r="247" spans="2:2" ht="12.5" x14ac:dyDescent="0.25">
      <c r="B247" s="9"/>
    </row>
    <row r="248" spans="2:2" ht="12.5" x14ac:dyDescent="0.25">
      <c r="B248" s="9"/>
    </row>
    <row r="249" spans="2:2" ht="12.5" x14ac:dyDescent="0.25">
      <c r="B249" s="9"/>
    </row>
    <row r="250" spans="2:2" ht="12.5" x14ac:dyDescent="0.25">
      <c r="B250" s="9"/>
    </row>
    <row r="251" spans="2:2" ht="12.5" x14ac:dyDescent="0.25">
      <c r="B251" s="9"/>
    </row>
    <row r="252" spans="2:2" ht="12.5" x14ac:dyDescent="0.25">
      <c r="B252" s="9"/>
    </row>
    <row r="253" spans="2:2" ht="12.5" x14ac:dyDescent="0.25">
      <c r="B253" s="9"/>
    </row>
    <row r="254" spans="2:2" ht="12.5" x14ac:dyDescent="0.25">
      <c r="B254" s="9"/>
    </row>
    <row r="255" spans="2:2" ht="12.5" x14ac:dyDescent="0.25">
      <c r="B255" s="9"/>
    </row>
    <row r="256" spans="2:2" ht="12.5" x14ac:dyDescent="0.25">
      <c r="B256" s="9"/>
    </row>
    <row r="257" spans="2:2" ht="12.5" x14ac:dyDescent="0.25">
      <c r="B257" s="9"/>
    </row>
    <row r="258" spans="2:2" ht="12.5" x14ac:dyDescent="0.25">
      <c r="B258" s="9"/>
    </row>
    <row r="259" spans="2:2" ht="12.5" x14ac:dyDescent="0.25">
      <c r="B259" s="9"/>
    </row>
    <row r="260" spans="2:2" ht="12.5" x14ac:dyDescent="0.25">
      <c r="B260" s="9"/>
    </row>
    <row r="261" spans="2:2" ht="12.5" x14ac:dyDescent="0.25">
      <c r="B261" s="9"/>
    </row>
    <row r="262" spans="2:2" ht="12.5" x14ac:dyDescent="0.25">
      <c r="B262" s="9"/>
    </row>
    <row r="263" spans="2:2" ht="12.5" x14ac:dyDescent="0.25">
      <c r="B263" s="9"/>
    </row>
    <row r="264" spans="2:2" ht="12.5" x14ac:dyDescent="0.25">
      <c r="B264" s="9"/>
    </row>
    <row r="265" spans="2:2" ht="12.5" x14ac:dyDescent="0.25">
      <c r="B265" s="9"/>
    </row>
    <row r="266" spans="2:2" ht="12.5" x14ac:dyDescent="0.25">
      <c r="B266" s="9"/>
    </row>
    <row r="267" spans="2:2" ht="12.5" x14ac:dyDescent="0.25">
      <c r="B267" s="9"/>
    </row>
    <row r="268" spans="2:2" ht="12.5" x14ac:dyDescent="0.25">
      <c r="B268" s="9"/>
    </row>
    <row r="269" spans="2:2" ht="12.5" x14ac:dyDescent="0.25">
      <c r="B269" s="9"/>
    </row>
    <row r="270" spans="2:2" ht="12.5" x14ac:dyDescent="0.25">
      <c r="B270" s="9"/>
    </row>
    <row r="271" spans="2:2" ht="12.5" x14ac:dyDescent="0.25">
      <c r="B271" s="9"/>
    </row>
    <row r="272" spans="2:2" ht="12.5" x14ac:dyDescent="0.25">
      <c r="B272" s="9"/>
    </row>
    <row r="273" spans="2:2" ht="12.5" x14ac:dyDescent="0.25">
      <c r="B273" s="9"/>
    </row>
    <row r="274" spans="2:2" ht="12.5" x14ac:dyDescent="0.25">
      <c r="B274" s="9"/>
    </row>
    <row r="275" spans="2:2" ht="12.5" x14ac:dyDescent="0.25">
      <c r="B275" s="9"/>
    </row>
    <row r="276" spans="2:2" ht="12.5" x14ac:dyDescent="0.25">
      <c r="B276" s="9"/>
    </row>
    <row r="277" spans="2:2" ht="12.5" x14ac:dyDescent="0.25">
      <c r="B277" s="9"/>
    </row>
    <row r="278" spans="2:2" ht="12.5" x14ac:dyDescent="0.25">
      <c r="B278" s="9"/>
    </row>
    <row r="279" spans="2:2" ht="12.5" x14ac:dyDescent="0.25">
      <c r="B279" s="9"/>
    </row>
    <row r="280" spans="2:2" ht="12.5" x14ac:dyDescent="0.25">
      <c r="B280" s="9"/>
    </row>
    <row r="281" spans="2:2" ht="12.5" x14ac:dyDescent="0.25">
      <c r="B281" s="9"/>
    </row>
    <row r="282" spans="2:2" ht="12.5" x14ac:dyDescent="0.25">
      <c r="B282" s="9"/>
    </row>
    <row r="283" spans="2:2" ht="12.5" x14ac:dyDescent="0.25">
      <c r="B283" s="9"/>
    </row>
    <row r="284" spans="2:2" ht="12.5" x14ac:dyDescent="0.25">
      <c r="B284" s="9"/>
    </row>
    <row r="285" spans="2:2" ht="12.5" x14ac:dyDescent="0.25">
      <c r="B285" s="9"/>
    </row>
    <row r="286" spans="2:2" ht="12.5" x14ac:dyDescent="0.25">
      <c r="B286" s="9"/>
    </row>
    <row r="287" spans="2:2" ht="12.5" x14ac:dyDescent="0.25">
      <c r="B287" s="9"/>
    </row>
    <row r="288" spans="2:2" ht="12.5" x14ac:dyDescent="0.25">
      <c r="B288" s="9"/>
    </row>
    <row r="289" spans="2:2" ht="12.5" x14ac:dyDescent="0.25">
      <c r="B289" s="9"/>
    </row>
    <row r="290" spans="2:2" ht="12.5" x14ac:dyDescent="0.25">
      <c r="B290" s="9"/>
    </row>
    <row r="291" spans="2:2" ht="12.5" x14ac:dyDescent="0.25">
      <c r="B291" s="9"/>
    </row>
    <row r="292" spans="2:2" ht="12.5" x14ac:dyDescent="0.25">
      <c r="B292" s="9"/>
    </row>
    <row r="293" spans="2:2" ht="12.5" x14ac:dyDescent="0.25">
      <c r="B293" s="9"/>
    </row>
    <row r="294" spans="2:2" ht="12.5" x14ac:dyDescent="0.25">
      <c r="B294" s="9"/>
    </row>
    <row r="295" spans="2:2" ht="12.5" x14ac:dyDescent="0.25">
      <c r="B295" s="9"/>
    </row>
    <row r="296" spans="2:2" ht="12.5" x14ac:dyDescent="0.25">
      <c r="B296" s="9"/>
    </row>
    <row r="297" spans="2:2" ht="12.5" x14ac:dyDescent="0.25">
      <c r="B297" s="9"/>
    </row>
    <row r="298" spans="2:2" ht="12.5" x14ac:dyDescent="0.25">
      <c r="B298" s="9"/>
    </row>
    <row r="299" spans="2:2" ht="12.5" x14ac:dyDescent="0.25">
      <c r="B299" s="9"/>
    </row>
    <row r="300" spans="2:2" ht="12.5" x14ac:dyDescent="0.25">
      <c r="B300" s="9"/>
    </row>
    <row r="301" spans="2:2" ht="12.5" x14ac:dyDescent="0.25">
      <c r="B301" s="9"/>
    </row>
    <row r="302" spans="2:2" ht="12.5" x14ac:dyDescent="0.25">
      <c r="B302" s="9"/>
    </row>
    <row r="303" spans="2:2" ht="12.5" x14ac:dyDescent="0.25">
      <c r="B303" s="9"/>
    </row>
    <row r="304" spans="2:2" ht="12.5" x14ac:dyDescent="0.25">
      <c r="B304" s="9"/>
    </row>
    <row r="305" spans="2:2" ht="12.5" x14ac:dyDescent="0.25">
      <c r="B305" s="9"/>
    </row>
    <row r="306" spans="2:2" ht="12.5" x14ac:dyDescent="0.25">
      <c r="B306" s="9"/>
    </row>
    <row r="307" spans="2:2" ht="12.5" x14ac:dyDescent="0.25">
      <c r="B307" s="9"/>
    </row>
    <row r="308" spans="2:2" ht="12.5" x14ac:dyDescent="0.25">
      <c r="B308" s="9"/>
    </row>
    <row r="309" spans="2:2" ht="12.5" x14ac:dyDescent="0.25">
      <c r="B309" s="9"/>
    </row>
    <row r="310" spans="2:2" ht="12.5" x14ac:dyDescent="0.25">
      <c r="B310" s="9"/>
    </row>
    <row r="311" spans="2:2" ht="12.5" x14ac:dyDescent="0.25">
      <c r="B311" s="9"/>
    </row>
    <row r="312" spans="2:2" ht="12.5" x14ac:dyDescent="0.25">
      <c r="B312" s="9"/>
    </row>
    <row r="313" spans="2:2" ht="12.5" x14ac:dyDescent="0.25">
      <c r="B313" s="9"/>
    </row>
    <row r="314" spans="2:2" ht="12.5" x14ac:dyDescent="0.25">
      <c r="B314" s="9"/>
    </row>
    <row r="315" spans="2:2" ht="12.5" x14ac:dyDescent="0.25">
      <c r="B315" s="9"/>
    </row>
    <row r="316" spans="2:2" ht="12.5" x14ac:dyDescent="0.25">
      <c r="B316" s="9"/>
    </row>
    <row r="317" spans="2:2" ht="12.5" x14ac:dyDescent="0.25">
      <c r="B317" s="9"/>
    </row>
    <row r="318" spans="2:2" ht="12.5" x14ac:dyDescent="0.25">
      <c r="B318" s="9"/>
    </row>
    <row r="319" spans="2:2" ht="12.5" x14ac:dyDescent="0.25">
      <c r="B319" s="9"/>
    </row>
    <row r="320" spans="2:2" ht="12.5" x14ac:dyDescent="0.25">
      <c r="B320" s="9"/>
    </row>
    <row r="321" spans="2:2" ht="12.5" x14ac:dyDescent="0.25">
      <c r="B321" s="9"/>
    </row>
    <row r="322" spans="2:2" ht="12.5" x14ac:dyDescent="0.25">
      <c r="B322" s="9"/>
    </row>
    <row r="323" spans="2:2" ht="12.5" x14ac:dyDescent="0.25">
      <c r="B323" s="9"/>
    </row>
    <row r="324" spans="2:2" ht="12.5" x14ac:dyDescent="0.25">
      <c r="B324" s="9"/>
    </row>
    <row r="325" spans="2:2" ht="12.5" x14ac:dyDescent="0.25">
      <c r="B325" s="9"/>
    </row>
    <row r="326" spans="2:2" ht="12.5" x14ac:dyDescent="0.25">
      <c r="B326" s="9"/>
    </row>
    <row r="327" spans="2:2" ht="12.5" x14ac:dyDescent="0.25">
      <c r="B327" s="9"/>
    </row>
    <row r="328" spans="2:2" ht="12.5" x14ac:dyDescent="0.25">
      <c r="B328" s="9"/>
    </row>
    <row r="329" spans="2:2" ht="12.5" x14ac:dyDescent="0.25">
      <c r="B329" s="9"/>
    </row>
    <row r="330" spans="2:2" ht="12.5" x14ac:dyDescent="0.25">
      <c r="B330" s="9"/>
    </row>
    <row r="331" spans="2:2" ht="12.5" x14ac:dyDescent="0.25">
      <c r="B331" s="9"/>
    </row>
    <row r="332" spans="2:2" ht="12.5" x14ac:dyDescent="0.25">
      <c r="B332" s="9"/>
    </row>
    <row r="333" spans="2:2" ht="12.5" x14ac:dyDescent="0.25">
      <c r="B333" s="9"/>
    </row>
    <row r="334" spans="2:2" ht="12.5" x14ac:dyDescent="0.25">
      <c r="B334" s="9"/>
    </row>
    <row r="335" spans="2:2" ht="12.5" x14ac:dyDescent="0.25">
      <c r="B335" s="9"/>
    </row>
    <row r="336" spans="2:2" ht="12.5" x14ac:dyDescent="0.25">
      <c r="B336" s="9"/>
    </row>
    <row r="337" spans="2:2" ht="12.5" x14ac:dyDescent="0.25">
      <c r="B337" s="9"/>
    </row>
    <row r="338" spans="2:2" ht="12.5" x14ac:dyDescent="0.25">
      <c r="B338" s="9"/>
    </row>
    <row r="339" spans="2:2" ht="12.5" x14ac:dyDescent="0.25">
      <c r="B339" s="9"/>
    </row>
    <row r="340" spans="2:2" ht="12.5" x14ac:dyDescent="0.25">
      <c r="B340" s="9"/>
    </row>
    <row r="341" spans="2:2" ht="12.5" x14ac:dyDescent="0.25">
      <c r="B341" s="9"/>
    </row>
    <row r="342" spans="2:2" ht="12.5" x14ac:dyDescent="0.25">
      <c r="B342" s="9"/>
    </row>
    <row r="343" spans="2:2" ht="12.5" x14ac:dyDescent="0.25">
      <c r="B343" s="9"/>
    </row>
    <row r="344" spans="2:2" ht="12.5" x14ac:dyDescent="0.25">
      <c r="B344" s="9"/>
    </row>
    <row r="345" spans="2:2" ht="12.5" x14ac:dyDescent="0.25">
      <c r="B345" s="9"/>
    </row>
    <row r="346" spans="2:2" ht="12.5" x14ac:dyDescent="0.25">
      <c r="B346" s="9"/>
    </row>
    <row r="347" spans="2:2" ht="12.5" x14ac:dyDescent="0.25">
      <c r="B347" s="9"/>
    </row>
    <row r="348" spans="2:2" ht="12.5" x14ac:dyDescent="0.25">
      <c r="B348" s="9"/>
    </row>
    <row r="349" spans="2:2" ht="12.5" x14ac:dyDescent="0.25">
      <c r="B349" s="9"/>
    </row>
    <row r="350" spans="2:2" ht="12.5" x14ac:dyDescent="0.25">
      <c r="B350" s="9"/>
    </row>
    <row r="351" spans="2:2" ht="12.5" x14ac:dyDescent="0.25">
      <c r="B351" s="9"/>
    </row>
    <row r="352" spans="2:2" ht="12.5" x14ac:dyDescent="0.25">
      <c r="B352" s="9"/>
    </row>
    <row r="353" spans="2:2" ht="12.5" x14ac:dyDescent="0.25">
      <c r="B353" s="9"/>
    </row>
    <row r="354" spans="2:2" ht="12.5" x14ac:dyDescent="0.25">
      <c r="B354" s="9"/>
    </row>
    <row r="355" spans="2:2" ht="12.5" x14ac:dyDescent="0.25">
      <c r="B355" s="9"/>
    </row>
    <row r="356" spans="2:2" ht="12.5" x14ac:dyDescent="0.25">
      <c r="B356" s="9"/>
    </row>
    <row r="357" spans="2:2" ht="12.5" x14ac:dyDescent="0.25">
      <c r="B357" s="9"/>
    </row>
    <row r="358" spans="2:2" ht="12.5" x14ac:dyDescent="0.25">
      <c r="B358" s="9"/>
    </row>
    <row r="359" spans="2:2" ht="12.5" x14ac:dyDescent="0.25">
      <c r="B359" s="9"/>
    </row>
    <row r="360" spans="2:2" ht="12.5" x14ac:dyDescent="0.25">
      <c r="B360" s="9"/>
    </row>
    <row r="361" spans="2:2" ht="12.5" x14ac:dyDescent="0.25">
      <c r="B361" s="9"/>
    </row>
    <row r="362" spans="2:2" ht="12.5" x14ac:dyDescent="0.25">
      <c r="B362" s="9"/>
    </row>
    <row r="363" spans="2:2" ht="12.5" x14ac:dyDescent="0.25">
      <c r="B363" s="9"/>
    </row>
    <row r="364" spans="2:2" ht="12.5" x14ac:dyDescent="0.25">
      <c r="B364" s="9"/>
    </row>
    <row r="365" spans="2:2" ht="12.5" x14ac:dyDescent="0.25">
      <c r="B365" s="9"/>
    </row>
    <row r="366" spans="2:2" ht="12.5" x14ac:dyDescent="0.25">
      <c r="B366" s="9"/>
    </row>
    <row r="367" spans="2:2" ht="12.5" x14ac:dyDescent="0.25">
      <c r="B367" s="9"/>
    </row>
    <row r="368" spans="2:2" ht="12.5" x14ac:dyDescent="0.25">
      <c r="B368" s="9"/>
    </row>
    <row r="369" spans="2:2" ht="12.5" x14ac:dyDescent="0.25">
      <c r="B369" s="9"/>
    </row>
    <row r="370" spans="2:2" ht="12.5" x14ac:dyDescent="0.25">
      <c r="B370" s="9"/>
    </row>
    <row r="371" spans="2:2" ht="12.5" x14ac:dyDescent="0.25">
      <c r="B371" s="9"/>
    </row>
    <row r="372" spans="2:2" ht="12.5" x14ac:dyDescent="0.25">
      <c r="B372" s="9"/>
    </row>
    <row r="373" spans="2:2" ht="12.5" x14ac:dyDescent="0.25">
      <c r="B373" s="9"/>
    </row>
    <row r="374" spans="2:2" ht="12.5" x14ac:dyDescent="0.25">
      <c r="B374" s="9"/>
    </row>
    <row r="375" spans="2:2" ht="12.5" x14ac:dyDescent="0.25">
      <c r="B375" s="9"/>
    </row>
    <row r="376" spans="2:2" ht="12.5" x14ac:dyDescent="0.25">
      <c r="B376" s="9"/>
    </row>
    <row r="377" spans="2:2" ht="12.5" x14ac:dyDescent="0.25">
      <c r="B377" s="9"/>
    </row>
    <row r="378" spans="2:2" ht="12.5" x14ac:dyDescent="0.25">
      <c r="B378" s="9"/>
    </row>
    <row r="379" spans="2:2" ht="12.5" x14ac:dyDescent="0.25">
      <c r="B379" s="9"/>
    </row>
    <row r="380" spans="2:2" ht="12.5" x14ac:dyDescent="0.25">
      <c r="B380" s="9"/>
    </row>
    <row r="381" spans="2:2" ht="12.5" x14ac:dyDescent="0.25">
      <c r="B381" s="9"/>
    </row>
    <row r="382" spans="2:2" ht="12.5" x14ac:dyDescent="0.25">
      <c r="B382" s="9"/>
    </row>
    <row r="383" spans="2:2" ht="12.5" x14ac:dyDescent="0.25">
      <c r="B383" s="9"/>
    </row>
    <row r="384" spans="2:2" ht="12.5" x14ac:dyDescent="0.25">
      <c r="B384" s="9"/>
    </row>
    <row r="385" spans="2:2" ht="12.5" x14ac:dyDescent="0.25">
      <c r="B385" s="9"/>
    </row>
    <row r="386" spans="2:2" ht="12.5" x14ac:dyDescent="0.25">
      <c r="B386" s="9"/>
    </row>
    <row r="387" spans="2:2" ht="12.5" x14ac:dyDescent="0.25">
      <c r="B387" s="9"/>
    </row>
    <row r="388" spans="2:2" ht="12.5" x14ac:dyDescent="0.25">
      <c r="B388" s="9"/>
    </row>
    <row r="389" spans="2:2" ht="12.5" x14ac:dyDescent="0.25">
      <c r="B389" s="9"/>
    </row>
    <row r="390" spans="2:2" ht="12.5" x14ac:dyDescent="0.25">
      <c r="B390" s="9"/>
    </row>
    <row r="391" spans="2:2" ht="12.5" x14ac:dyDescent="0.25">
      <c r="B391" s="9"/>
    </row>
    <row r="392" spans="2:2" ht="12.5" x14ac:dyDescent="0.25">
      <c r="B392" s="9"/>
    </row>
    <row r="393" spans="2:2" ht="12.5" x14ac:dyDescent="0.25">
      <c r="B393" s="9"/>
    </row>
    <row r="394" spans="2:2" ht="12.5" x14ac:dyDescent="0.25">
      <c r="B394" s="9"/>
    </row>
    <row r="395" spans="2:2" ht="12.5" x14ac:dyDescent="0.25">
      <c r="B395" s="9"/>
    </row>
    <row r="396" spans="2:2" ht="12.5" x14ac:dyDescent="0.25">
      <c r="B396" s="9"/>
    </row>
    <row r="397" spans="2:2" ht="12.5" x14ac:dyDescent="0.25">
      <c r="B397" s="9"/>
    </row>
    <row r="398" spans="2:2" ht="12.5" x14ac:dyDescent="0.25">
      <c r="B398" s="9"/>
    </row>
    <row r="399" spans="2:2" ht="12.5" x14ac:dyDescent="0.25">
      <c r="B399" s="9"/>
    </row>
    <row r="400" spans="2:2" ht="12.5" x14ac:dyDescent="0.25">
      <c r="B400" s="9"/>
    </row>
    <row r="401" spans="2:2" ht="12.5" x14ac:dyDescent="0.25">
      <c r="B401" s="9"/>
    </row>
    <row r="402" spans="2:2" ht="12.5" x14ac:dyDescent="0.25">
      <c r="B402" s="9"/>
    </row>
    <row r="403" spans="2:2" ht="12.5" x14ac:dyDescent="0.25">
      <c r="B403" s="9"/>
    </row>
    <row r="404" spans="2:2" ht="12.5" x14ac:dyDescent="0.25">
      <c r="B404" s="9"/>
    </row>
    <row r="405" spans="2:2" ht="12.5" x14ac:dyDescent="0.25">
      <c r="B405" s="9"/>
    </row>
    <row r="406" spans="2:2" ht="12.5" x14ac:dyDescent="0.25">
      <c r="B406" s="9"/>
    </row>
    <row r="407" spans="2:2" ht="12.5" x14ac:dyDescent="0.25">
      <c r="B407" s="9"/>
    </row>
    <row r="408" spans="2:2" ht="12.5" x14ac:dyDescent="0.25">
      <c r="B408" s="9"/>
    </row>
    <row r="409" spans="2:2" ht="12.5" x14ac:dyDescent="0.25">
      <c r="B409" s="9"/>
    </row>
    <row r="410" spans="2:2" ht="12.5" x14ac:dyDescent="0.25">
      <c r="B410" s="9"/>
    </row>
    <row r="411" spans="2:2" ht="12.5" x14ac:dyDescent="0.25">
      <c r="B411" s="9"/>
    </row>
    <row r="412" spans="2:2" ht="12.5" x14ac:dyDescent="0.25">
      <c r="B412" s="9"/>
    </row>
    <row r="413" spans="2:2" ht="12.5" x14ac:dyDescent="0.25">
      <c r="B413" s="9"/>
    </row>
    <row r="414" spans="2:2" ht="12.5" x14ac:dyDescent="0.25">
      <c r="B414" s="9"/>
    </row>
    <row r="415" spans="2:2" ht="12.5" x14ac:dyDescent="0.25">
      <c r="B415" s="9"/>
    </row>
    <row r="416" spans="2:2" ht="12.5" x14ac:dyDescent="0.25">
      <c r="B416" s="9"/>
    </row>
    <row r="417" spans="2:2" ht="12.5" x14ac:dyDescent="0.25">
      <c r="B417" s="9"/>
    </row>
    <row r="418" spans="2:2" ht="12.5" x14ac:dyDescent="0.25">
      <c r="B418" s="9"/>
    </row>
    <row r="419" spans="2:2" ht="12.5" x14ac:dyDescent="0.25">
      <c r="B419" s="9"/>
    </row>
    <row r="420" spans="2:2" ht="12.5" x14ac:dyDescent="0.25">
      <c r="B420" s="9"/>
    </row>
    <row r="421" spans="2:2" ht="12.5" x14ac:dyDescent="0.25">
      <c r="B421" s="9"/>
    </row>
    <row r="422" spans="2:2" ht="12.5" x14ac:dyDescent="0.25">
      <c r="B422" s="9"/>
    </row>
    <row r="423" spans="2:2" ht="12.5" x14ac:dyDescent="0.25">
      <c r="B423" s="9"/>
    </row>
    <row r="424" spans="2:2" ht="12.5" x14ac:dyDescent="0.25">
      <c r="B424" s="9"/>
    </row>
    <row r="425" spans="2:2" ht="12.5" x14ac:dyDescent="0.25">
      <c r="B425" s="9"/>
    </row>
    <row r="426" spans="2:2" ht="12.5" x14ac:dyDescent="0.25">
      <c r="B426" s="9"/>
    </row>
    <row r="427" spans="2:2" ht="12.5" x14ac:dyDescent="0.25">
      <c r="B427" s="9"/>
    </row>
    <row r="428" spans="2:2" ht="12.5" x14ac:dyDescent="0.25">
      <c r="B428" s="9"/>
    </row>
    <row r="429" spans="2:2" ht="12.5" x14ac:dyDescent="0.25">
      <c r="B429" s="9"/>
    </row>
    <row r="430" spans="2:2" ht="12.5" x14ac:dyDescent="0.25">
      <c r="B430" s="9"/>
    </row>
    <row r="431" spans="2:2" ht="12.5" x14ac:dyDescent="0.25">
      <c r="B431" s="9"/>
    </row>
    <row r="432" spans="2:2" ht="12.5" x14ac:dyDescent="0.25">
      <c r="B432" s="9"/>
    </row>
    <row r="433" spans="2:2" ht="12.5" x14ac:dyDescent="0.25">
      <c r="B433" s="9"/>
    </row>
    <row r="434" spans="2:2" ht="12.5" x14ac:dyDescent="0.25">
      <c r="B434" s="9"/>
    </row>
    <row r="435" spans="2:2" ht="12.5" x14ac:dyDescent="0.25">
      <c r="B435" s="9"/>
    </row>
    <row r="436" spans="2:2" ht="12.5" x14ac:dyDescent="0.25">
      <c r="B436" s="9"/>
    </row>
    <row r="437" spans="2:2" ht="12.5" x14ac:dyDescent="0.25">
      <c r="B437" s="9"/>
    </row>
    <row r="438" spans="2:2" ht="12.5" x14ac:dyDescent="0.25">
      <c r="B438" s="9"/>
    </row>
    <row r="439" spans="2:2" ht="12.5" x14ac:dyDescent="0.25">
      <c r="B439" s="9"/>
    </row>
    <row r="440" spans="2:2" ht="12.5" x14ac:dyDescent="0.25">
      <c r="B440" s="9"/>
    </row>
    <row r="441" spans="2:2" ht="12.5" x14ac:dyDescent="0.25">
      <c r="B441" s="9"/>
    </row>
    <row r="442" spans="2:2" ht="12.5" x14ac:dyDescent="0.25">
      <c r="B442" s="9"/>
    </row>
    <row r="443" spans="2:2" ht="12.5" x14ac:dyDescent="0.25">
      <c r="B443" s="9"/>
    </row>
    <row r="444" spans="2:2" ht="12.5" x14ac:dyDescent="0.25">
      <c r="B444" s="9"/>
    </row>
    <row r="445" spans="2:2" ht="12.5" x14ac:dyDescent="0.25">
      <c r="B445" s="9"/>
    </row>
    <row r="446" spans="2:2" ht="12.5" x14ac:dyDescent="0.25">
      <c r="B446" s="9"/>
    </row>
    <row r="447" spans="2:2" ht="12.5" x14ac:dyDescent="0.25">
      <c r="B447" s="9"/>
    </row>
    <row r="448" spans="2:2" ht="12.5" x14ac:dyDescent="0.25">
      <c r="B448" s="9"/>
    </row>
    <row r="449" spans="2:2" ht="12.5" x14ac:dyDescent="0.25">
      <c r="B449" s="9"/>
    </row>
    <row r="450" spans="2:2" ht="12.5" x14ac:dyDescent="0.25">
      <c r="B450" s="9"/>
    </row>
    <row r="451" spans="2:2" ht="12.5" x14ac:dyDescent="0.25">
      <c r="B451" s="9"/>
    </row>
    <row r="452" spans="2:2" ht="12.5" x14ac:dyDescent="0.25">
      <c r="B452" s="9"/>
    </row>
    <row r="453" spans="2:2" ht="12.5" x14ac:dyDescent="0.25">
      <c r="B453" s="9"/>
    </row>
    <row r="454" spans="2:2" ht="12.5" x14ac:dyDescent="0.25">
      <c r="B454" s="9"/>
    </row>
    <row r="455" spans="2:2" ht="12.5" x14ac:dyDescent="0.25">
      <c r="B455" s="9"/>
    </row>
    <row r="456" spans="2:2" ht="12.5" x14ac:dyDescent="0.25">
      <c r="B456" s="9"/>
    </row>
    <row r="457" spans="2:2" ht="12.5" x14ac:dyDescent="0.25">
      <c r="B457" s="9"/>
    </row>
    <row r="458" spans="2:2" ht="12.5" x14ac:dyDescent="0.25">
      <c r="B458" s="9"/>
    </row>
    <row r="459" spans="2:2" ht="12.5" x14ac:dyDescent="0.25">
      <c r="B459" s="9"/>
    </row>
    <row r="460" spans="2:2" ht="12.5" x14ac:dyDescent="0.25">
      <c r="B460" s="9"/>
    </row>
    <row r="461" spans="2:2" ht="12.5" x14ac:dyDescent="0.25">
      <c r="B461" s="9"/>
    </row>
    <row r="462" spans="2:2" ht="12.5" x14ac:dyDescent="0.25">
      <c r="B462" s="9"/>
    </row>
    <row r="463" spans="2:2" ht="12.5" x14ac:dyDescent="0.25">
      <c r="B463" s="9"/>
    </row>
    <row r="464" spans="2:2" ht="12.5" x14ac:dyDescent="0.25">
      <c r="B464" s="9"/>
    </row>
    <row r="465" spans="2:2" ht="12.5" x14ac:dyDescent="0.25">
      <c r="B465" s="9"/>
    </row>
    <row r="466" spans="2:2" ht="12.5" x14ac:dyDescent="0.25">
      <c r="B466" s="9"/>
    </row>
    <row r="467" spans="2:2" ht="12.5" x14ac:dyDescent="0.25">
      <c r="B467" s="9"/>
    </row>
    <row r="468" spans="2:2" ht="12.5" x14ac:dyDescent="0.25">
      <c r="B468" s="9"/>
    </row>
    <row r="469" spans="2:2" ht="12.5" x14ac:dyDescent="0.25">
      <c r="B469" s="9"/>
    </row>
    <row r="470" spans="2:2" ht="12.5" x14ac:dyDescent="0.25">
      <c r="B470" s="9"/>
    </row>
    <row r="471" spans="2:2" ht="12.5" x14ac:dyDescent="0.25">
      <c r="B471" s="9"/>
    </row>
    <row r="472" spans="2:2" ht="12.5" x14ac:dyDescent="0.25">
      <c r="B472" s="9"/>
    </row>
    <row r="473" spans="2:2" ht="12.5" x14ac:dyDescent="0.25">
      <c r="B473" s="9"/>
    </row>
    <row r="474" spans="2:2" ht="12.5" x14ac:dyDescent="0.25">
      <c r="B474" s="9"/>
    </row>
    <row r="475" spans="2:2" ht="12.5" x14ac:dyDescent="0.25">
      <c r="B475" s="9"/>
    </row>
    <row r="476" spans="2:2" ht="12.5" x14ac:dyDescent="0.25">
      <c r="B476" s="9"/>
    </row>
    <row r="477" spans="2:2" ht="12.5" x14ac:dyDescent="0.25">
      <c r="B477" s="9"/>
    </row>
    <row r="478" spans="2:2" ht="12.5" x14ac:dyDescent="0.25">
      <c r="B478" s="9"/>
    </row>
    <row r="479" spans="2:2" ht="12.5" x14ac:dyDescent="0.25">
      <c r="B479" s="9"/>
    </row>
    <row r="480" spans="2:2" ht="12.5" x14ac:dyDescent="0.25">
      <c r="B480" s="9"/>
    </row>
    <row r="481" spans="2:2" ht="12.5" x14ac:dyDescent="0.25">
      <c r="B481" s="9"/>
    </row>
    <row r="482" spans="2:2" ht="12.5" x14ac:dyDescent="0.25">
      <c r="B482" s="9"/>
    </row>
    <row r="483" spans="2:2" ht="12.5" x14ac:dyDescent="0.25">
      <c r="B483" s="9"/>
    </row>
    <row r="484" spans="2:2" ht="12.5" x14ac:dyDescent="0.25">
      <c r="B484" s="9"/>
    </row>
    <row r="485" spans="2:2" ht="12.5" x14ac:dyDescent="0.25">
      <c r="B485" s="9"/>
    </row>
    <row r="486" spans="2:2" ht="12.5" x14ac:dyDescent="0.25">
      <c r="B486" s="9"/>
    </row>
    <row r="487" spans="2:2" ht="12.5" x14ac:dyDescent="0.25">
      <c r="B487" s="9"/>
    </row>
    <row r="488" spans="2:2" ht="12.5" x14ac:dyDescent="0.25">
      <c r="B488" s="9"/>
    </row>
    <row r="489" spans="2:2" ht="12.5" x14ac:dyDescent="0.25">
      <c r="B489" s="9"/>
    </row>
    <row r="490" spans="2:2" ht="12.5" x14ac:dyDescent="0.25">
      <c r="B490" s="9"/>
    </row>
    <row r="491" spans="2:2" ht="12.5" x14ac:dyDescent="0.25">
      <c r="B491" s="9"/>
    </row>
    <row r="492" spans="2:2" ht="12.5" x14ac:dyDescent="0.25">
      <c r="B492" s="9"/>
    </row>
    <row r="493" spans="2:2" ht="12.5" x14ac:dyDescent="0.25">
      <c r="B493" s="9"/>
    </row>
    <row r="494" spans="2:2" ht="12.5" x14ac:dyDescent="0.25">
      <c r="B494" s="9"/>
    </row>
    <row r="495" spans="2:2" ht="12.5" x14ac:dyDescent="0.25">
      <c r="B495" s="9"/>
    </row>
    <row r="496" spans="2:2" ht="12.5" x14ac:dyDescent="0.25">
      <c r="B496" s="9"/>
    </row>
    <row r="497" spans="2:2" ht="12.5" x14ac:dyDescent="0.25">
      <c r="B497" s="9"/>
    </row>
    <row r="498" spans="2:2" ht="12.5" x14ac:dyDescent="0.25">
      <c r="B498" s="9"/>
    </row>
    <row r="499" spans="2:2" ht="12.5" x14ac:dyDescent="0.25">
      <c r="B499" s="9"/>
    </row>
    <row r="500" spans="2:2" ht="12.5" x14ac:dyDescent="0.25">
      <c r="B500" s="9"/>
    </row>
    <row r="501" spans="2:2" ht="12.5" x14ac:dyDescent="0.25">
      <c r="B501" s="9"/>
    </row>
    <row r="502" spans="2:2" ht="12.5" x14ac:dyDescent="0.25">
      <c r="B502" s="9"/>
    </row>
    <row r="503" spans="2:2" ht="12.5" x14ac:dyDescent="0.25">
      <c r="B503" s="9"/>
    </row>
    <row r="504" spans="2:2" ht="12.5" x14ac:dyDescent="0.25">
      <c r="B504" s="9"/>
    </row>
    <row r="505" spans="2:2" ht="12.5" x14ac:dyDescent="0.25">
      <c r="B505" s="9"/>
    </row>
    <row r="506" spans="2:2" ht="12.5" x14ac:dyDescent="0.25">
      <c r="B506" s="9"/>
    </row>
    <row r="507" spans="2:2" ht="12.5" x14ac:dyDescent="0.25">
      <c r="B507" s="9"/>
    </row>
    <row r="508" spans="2:2" ht="12.5" x14ac:dyDescent="0.25">
      <c r="B508" s="9"/>
    </row>
    <row r="509" spans="2:2" ht="12.5" x14ac:dyDescent="0.25">
      <c r="B509" s="9"/>
    </row>
    <row r="510" spans="2:2" ht="12.5" x14ac:dyDescent="0.25">
      <c r="B510" s="9"/>
    </row>
    <row r="511" spans="2:2" ht="12.5" x14ac:dyDescent="0.25">
      <c r="B511" s="9"/>
    </row>
    <row r="512" spans="2:2" ht="12.5" x14ac:dyDescent="0.25">
      <c r="B512" s="9"/>
    </row>
    <row r="513" spans="2:2" ht="12.5" x14ac:dyDescent="0.25">
      <c r="B513" s="9"/>
    </row>
    <row r="514" spans="2:2" ht="12.5" x14ac:dyDescent="0.25">
      <c r="B514" s="9"/>
    </row>
    <row r="515" spans="2:2" ht="12.5" x14ac:dyDescent="0.25">
      <c r="B515" s="9"/>
    </row>
    <row r="516" spans="2:2" ht="12.5" x14ac:dyDescent="0.25">
      <c r="B516" s="9"/>
    </row>
    <row r="517" spans="2:2" ht="12.5" x14ac:dyDescent="0.25">
      <c r="B517" s="9"/>
    </row>
    <row r="518" spans="2:2" ht="12.5" x14ac:dyDescent="0.25">
      <c r="B518" s="9"/>
    </row>
    <row r="519" spans="2:2" ht="12.5" x14ac:dyDescent="0.25">
      <c r="B519" s="9"/>
    </row>
    <row r="520" spans="2:2" ht="12.5" x14ac:dyDescent="0.25">
      <c r="B520" s="9"/>
    </row>
    <row r="521" spans="2:2" ht="12.5" x14ac:dyDescent="0.25">
      <c r="B521" s="9"/>
    </row>
    <row r="522" spans="2:2" ht="12.5" x14ac:dyDescent="0.25">
      <c r="B522" s="9"/>
    </row>
    <row r="523" spans="2:2" ht="12.5" x14ac:dyDescent="0.25">
      <c r="B523" s="9"/>
    </row>
    <row r="524" spans="2:2" ht="12.5" x14ac:dyDescent="0.25">
      <c r="B524" s="9"/>
    </row>
    <row r="525" spans="2:2" ht="12.5" x14ac:dyDescent="0.25">
      <c r="B525" s="9"/>
    </row>
    <row r="526" spans="2:2" ht="12.5" x14ac:dyDescent="0.25">
      <c r="B526" s="9"/>
    </row>
    <row r="527" spans="2:2" ht="12.5" x14ac:dyDescent="0.25">
      <c r="B527" s="9"/>
    </row>
    <row r="528" spans="2:2" ht="12.5" x14ac:dyDescent="0.25">
      <c r="B528" s="9"/>
    </row>
    <row r="529" spans="2:2" ht="12.5" x14ac:dyDescent="0.25">
      <c r="B529" s="9"/>
    </row>
    <row r="530" spans="2:2" ht="12.5" x14ac:dyDescent="0.25">
      <c r="B530" s="9"/>
    </row>
    <row r="531" spans="2:2" ht="12.5" x14ac:dyDescent="0.25">
      <c r="B531" s="9"/>
    </row>
    <row r="532" spans="2:2" ht="12.5" x14ac:dyDescent="0.25">
      <c r="B532" s="9"/>
    </row>
    <row r="533" spans="2:2" ht="12.5" x14ac:dyDescent="0.25">
      <c r="B533" s="9"/>
    </row>
    <row r="534" spans="2:2" ht="12.5" x14ac:dyDescent="0.25">
      <c r="B534" s="9"/>
    </row>
    <row r="535" spans="2:2" ht="12.5" x14ac:dyDescent="0.25">
      <c r="B535" s="9"/>
    </row>
    <row r="536" spans="2:2" ht="12.5" x14ac:dyDescent="0.25">
      <c r="B536" s="9"/>
    </row>
    <row r="537" spans="2:2" ht="12.5" x14ac:dyDescent="0.25">
      <c r="B537" s="9"/>
    </row>
    <row r="538" spans="2:2" ht="12.5" x14ac:dyDescent="0.25">
      <c r="B538" s="9"/>
    </row>
    <row r="539" spans="2:2" ht="12.5" x14ac:dyDescent="0.25">
      <c r="B539" s="9"/>
    </row>
    <row r="540" spans="2:2" ht="12.5" x14ac:dyDescent="0.25">
      <c r="B540" s="9"/>
    </row>
    <row r="541" spans="2:2" ht="12.5" x14ac:dyDescent="0.25">
      <c r="B541" s="9"/>
    </row>
    <row r="542" spans="2:2" ht="12.5" x14ac:dyDescent="0.25">
      <c r="B542" s="9"/>
    </row>
    <row r="543" spans="2:2" ht="12.5" x14ac:dyDescent="0.25">
      <c r="B543" s="9"/>
    </row>
    <row r="544" spans="2:2" ht="12.5" x14ac:dyDescent="0.25">
      <c r="B544" s="9"/>
    </row>
    <row r="545" spans="2:2" ht="12.5" x14ac:dyDescent="0.25">
      <c r="B545" s="9"/>
    </row>
    <row r="546" spans="2:2" ht="12.5" x14ac:dyDescent="0.25">
      <c r="B546" s="9"/>
    </row>
    <row r="547" spans="2:2" ht="12.5" x14ac:dyDescent="0.25">
      <c r="B547" s="9"/>
    </row>
    <row r="548" spans="2:2" ht="12.5" x14ac:dyDescent="0.25">
      <c r="B548" s="9"/>
    </row>
    <row r="549" spans="2:2" ht="12.5" x14ac:dyDescent="0.25">
      <c r="B549" s="9"/>
    </row>
    <row r="550" spans="2:2" ht="12.5" x14ac:dyDescent="0.25">
      <c r="B550" s="9"/>
    </row>
    <row r="551" spans="2:2" ht="12.5" x14ac:dyDescent="0.25">
      <c r="B551" s="9"/>
    </row>
    <row r="552" spans="2:2" ht="12.5" x14ac:dyDescent="0.25">
      <c r="B552" s="9"/>
    </row>
    <row r="553" spans="2:2" ht="12.5" x14ac:dyDescent="0.25">
      <c r="B553" s="9"/>
    </row>
    <row r="554" spans="2:2" ht="12.5" x14ac:dyDescent="0.25">
      <c r="B554" s="9"/>
    </row>
    <row r="555" spans="2:2" ht="12.5" x14ac:dyDescent="0.25">
      <c r="B555" s="9"/>
    </row>
    <row r="556" spans="2:2" ht="12.5" x14ac:dyDescent="0.25">
      <c r="B556" s="9"/>
    </row>
    <row r="557" spans="2:2" ht="12.5" x14ac:dyDescent="0.25">
      <c r="B557" s="9"/>
    </row>
    <row r="558" spans="2:2" ht="12.5" x14ac:dyDescent="0.25">
      <c r="B558" s="9"/>
    </row>
    <row r="559" spans="2:2" ht="12.5" x14ac:dyDescent="0.25">
      <c r="B559" s="9"/>
    </row>
    <row r="560" spans="2:2" ht="12.5" x14ac:dyDescent="0.25">
      <c r="B560" s="9"/>
    </row>
    <row r="561" spans="2:2" ht="12.5" x14ac:dyDescent="0.25">
      <c r="B561" s="9"/>
    </row>
    <row r="562" spans="2:2" ht="12.5" x14ac:dyDescent="0.25">
      <c r="B562" s="9"/>
    </row>
    <row r="563" spans="2:2" ht="12.5" x14ac:dyDescent="0.25">
      <c r="B563" s="9"/>
    </row>
    <row r="564" spans="2:2" ht="12.5" x14ac:dyDescent="0.25">
      <c r="B564" s="9"/>
    </row>
    <row r="565" spans="2:2" ht="12.5" x14ac:dyDescent="0.25">
      <c r="B565" s="9"/>
    </row>
    <row r="566" spans="2:2" ht="12.5" x14ac:dyDescent="0.25">
      <c r="B566" s="9"/>
    </row>
    <row r="567" spans="2:2" ht="12.5" x14ac:dyDescent="0.25">
      <c r="B567" s="9"/>
    </row>
    <row r="568" spans="2:2" ht="12.5" x14ac:dyDescent="0.25">
      <c r="B568" s="9"/>
    </row>
    <row r="569" spans="2:2" ht="12.5" x14ac:dyDescent="0.25">
      <c r="B569" s="9"/>
    </row>
    <row r="570" spans="2:2" ht="12.5" x14ac:dyDescent="0.25">
      <c r="B570" s="9"/>
    </row>
    <row r="571" spans="2:2" ht="12.5" x14ac:dyDescent="0.25">
      <c r="B571" s="9"/>
    </row>
    <row r="572" spans="2:2" ht="12.5" x14ac:dyDescent="0.25">
      <c r="B572" s="9"/>
    </row>
    <row r="573" spans="2:2" ht="12.5" x14ac:dyDescent="0.25">
      <c r="B573" s="9"/>
    </row>
    <row r="574" spans="2:2" ht="12.5" x14ac:dyDescent="0.25">
      <c r="B574" s="9"/>
    </row>
    <row r="575" spans="2:2" ht="12.5" x14ac:dyDescent="0.25">
      <c r="B575" s="9"/>
    </row>
    <row r="576" spans="2:2" ht="12.5" x14ac:dyDescent="0.25">
      <c r="B576" s="9"/>
    </row>
    <row r="577" spans="2:2" ht="12.5" x14ac:dyDescent="0.25">
      <c r="B577" s="9"/>
    </row>
    <row r="578" spans="2:2" ht="12.5" x14ac:dyDescent="0.25">
      <c r="B578" s="9"/>
    </row>
    <row r="579" spans="2:2" ht="12.5" x14ac:dyDescent="0.25">
      <c r="B579" s="9"/>
    </row>
    <row r="580" spans="2:2" ht="12.5" x14ac:dyDescent="0.25">
      <c r="B580" s="9"/>
    </row>
    <row r="581" spans="2:2" ht="12.5" x14ac:dyDescent="0.25">
      <c r="B581" s="9"/>
    </row>
    <row r="582" spans="2:2" ht="12.5" x14ac:dyDescent="0.25">
      <c r="B582" s="9"/>
    </row>
    <row r="583" spans="2:2" ht="12.5" x14ac:dyDescent="0.25">
      <c r="B583" s="9"/>
    </row>
    <row r="584" spans="2:2" ht="12.5" x14ac:dyDescent="0.25">
      <c r="B584" s="9"/>
    </row>
    <row r="585" spans="2:2" ht="12.5" x14ac:dyDescent="0.25">
      <c r="B585" s="9"/>
    </row>
    <row r="586" spans="2:2" ht="12.5" x14ac:dyDescent="0.25">
      <c r="B586" s="9"/>
    </row>
    <row r="587" spans="2:2" ht="12.5" x14ac:dyDescent="0.25">
      <c r="B587" s="9"/>
    </row>
    <row r="588" spans="2:2" ht="12.5" x14ac:dyDescent="0.25">
      <c r="B588" s="9"/>
    </row>
    <row r="589" spans="2:2" ht="12.5" x14ac:dyDescent="0.25">
      <c r="B589" s="9"/>
    </row>
    <row r="590" spans="2:2" ht="12.5" x14ac:dyDescent="0.25">
      <c r="B590" s="9"/>
    </row>
    <row r="591" spans="2:2" ht="12.5" x14ac:dyDescent="0.25">
      <c r="B591" s="9"/>
    </row>
    <row r="592" spans="2:2" ht="12.5" x14ac:dyDescent="0.25">
      <c r="B592" s="9"/>
    </row>
    <row r="593" spans="2:2" ht="12.5" x14ac:dyDescent="0.25">
      <c r="B593" s="9"/>
    </row>
    <row r="594" spans="2:2" ht="12.5" x14ac:dyDescent="0.25">
      <c r="B594" s="9"/>
    </row>
    <row r="595" spans="2:2" ht="12.5" x14ac:dyDescent="0.25">
      <c r="B595" s="9"/>
    </row>
    <row r="596" spans="2:2" ht="12.5" x14ac:dyDescent="0.25">
      <c r="B596" s="9"/>
    </row>
    <row r="597" spans="2:2" ht="12.5" x14ac:dyDescent="0.25">
      <c r="B597" s="9"/>
    </row>
    <row r="598" spans="2:2" ht="12.5" x14ac:dyDescent="0.25">
      <c r="B598" s="9"/>
    </row>
    <row r="599" spans="2:2" ht="12.5" x14ac:dyDescent="0.25">
      <c r="B599" s="9"/>
    </row>
    <row r="600" spans="2:2" ht="12.5" x14ac:dyDescent="0.25">
      <c r="B600" s="9"/>
    </row>
    <row r="601" spans="2:2" ht="12.5" x14ac:dyDescent="0.25">
      <c r="B601" s="9"/>
    </row>
    <row r="602" spans="2:2" ht="12.5" x14ac:dyDescent="0.25">
      <c r="B602" s="9"/>
    </row>
    <row r="603" spans="2:2" ht="12.5" x14ac:dyDescent="0.25">
      <c r="B603" s="9"/>
    </row>
    <row r="604" spans="2:2" ht="12.5" x14ac:dyDescent="0.25">
      <c r="B604" s="9"/>
    </row>
    <row r="605" spans="2:2" ht="12.5" x14ac:dyDescent="0.25">
      <c r="B605" s="9"/>
    </row>
    <row r="606" spans="2:2" ht="12.5" x14ac:dyDescent="0.25">
      <c r="B606" s="9"/>
    </row>
    <row r="607" spans="2:2" ht="12.5" x14ac:dyDescent="0.25">
      <c r="B607" s="9"/>
    </row>
    <row r="608" spans="2:2" ht="12.5" x14ac:dyDescent="0.25">
      <c r="B608" s="9"/>
    </row>
    <row r="609" spans="2:2" ht="12.5" x14ac:dyDescent="0.25">
      <c r="B609" s="9"/>
    </row>
    <row r="610" spans="2:2" ht="12.5" x14ac:dyDescent="0.25">
      <c r="B610" s="9"/>
    </row>
    <row r="611" spans="2:2" ht="12.5" x14ac:dyDescent="0.25">
      <c r="B611" s="9"/>
    </row>
    <row r="612" spans="2:2" ht="12.5" x14ac:dyDescent="0.25">
      <c r="B612" s="9"/>
    </row>
    <row r="613" spans="2:2" ht="12.5" x14ac:dyDescent="0.25">
      <c r="B613" s="9"/>
    </row>
    <row r="614" spans="2:2" ht="12.5" x14ac:dyDescent="0.25">
      <c r="B614" s="9"/>
    </row>
    <row r="615" spans="2:2" ht="12.5" x14ac:dyDescent="0.25">
      <c r="B615" s="9"/>
    </row>
    <row r="616" spans="2:2" ht="12.5" x14ac:dyDescent="0.25">
      <c r="B616" s="9"/>
    </row>
    <row r="617" spans="2:2" ht="12.5" x14ac:dyDescent="0.25">
      <c r="B617" s="9"/>
    </row>
    <row r="618" spans="2:2" ht="12.5" x14ac:dyDescent="0.25">
      <c r="B618" s="9"/>
    </row>
    <row r="619" spans="2:2" ht="12.5" x14ac:dyDescent="0.25">
      <c r="B619" s="9"/>
    </row>
    <row r="620" spans="2:2" ht="12.5" x14ac:dyDescent="0.25">
      <c r="B620" s="9"/>
    </row>
    <row r="621" spans="2:2" ht="12.5" x14ac:dyDescent="0.25">
      <c r="B621" s="9"/>
    </row>
    <row r="622" spans="2:2" ht="12.5" x14ac:dyDescent="0.25">
      <c r="B622" s="9"/>
    </row>
    <row r="623" spans="2:2" ht="12.5" x14ac:dyDescent="0.25">
      <c r="B623" s="9"/>
    </row>
    <row r="624" spans="2:2" ht="12.5" x14ac:dyDescent="0.25">
      <c r="B624" s="9"/>
    </row>
    <row r="625" spans="2:2" ht="12.5" x14ac:dyDescent="0.25">
      <c r="B625" s="9"/>
    </row>
    <row r="626" spans="2:2" ht="12.5" x14ac:dyDescent="0.25">
      <c r="B626" s="9"/>
    </row>
    <row r="627" spans="2:2" ht="12.5" x14ac:dyDescent="0.25">
      <c r="B627" s="9"/>
    </row>
    <row r="628" spans="2:2" ht="12.5" x14ac:dyDescent="0.25">
      <c r="B628" s="9"/>
    </row>
    <row r="629" spans="2:2" ht="12.5" x14ac:dyDescent="0.25">
      <c r="B629" s="9"/>
    </row>
    <row r="630" spans="2:2" ht="12.5" x14ac:dyDescent="0.25">
      <c r="B630" s="9"/>
    </row>
    <row r="631" spans="2:2" ht="12.5" x14ac:dyDescent="0.25">
      <c r="B631" s="9"/>
    </row>
    <row r="632" spans="2:2" ht="12.5" x14ac:dyDescent="0.25">
      <c r="B632" s="9"/>
    </row>
    <row r="633" spans="2:2" ht="12.5" x14ac:dyDescent="0.25">
      <c r="B633" s="9"/>
    </row>
    <row r="634" spans="2:2" ht="12.5" x14ac:dyDescent="0.25">
      <c r="B634" s="9"/>
    </row>
    <row r="635" spans="2:2" ht="12.5" x14ac:dyDescent="0.25">
      <c r="B635" s="9"/>
    </row>
    <row r="636" spans="2:2" ht="12.5" x14ac:dyDescent="0.25">
      <c r="B636" s="9"/>
    </row>
    <row r="637" spans="2:2" ht="12.5" x14ac:dyDescent="0.25">
      <c r="B637" s="9"/>
    </row>
    <row r="638" spans="2:2" ht="12.5" x14ac:dyDescent="0.25">
      <c r="B638" s="9"/>
    </row>
    <row r="639" spans="2:2" ht="12.5" x14ac:dyDescent="0.25">
      <c r="B639" s="9"/>
    </row>
    <row r="640" spans="2:2" ht="12.5" x14ac:dyDescent="0.25">
      <c r="B640" s="9"/>
    </row>
    <row r="641" spans="2:2" ht="12.5" x14ac:dyDescent="0.25">
      <c r="B641" s="9"/>
    </row>
    <row r="642" spans="2:2" ht="12.5" x14ac:dyDescent="0.25">
      <c r="B642" s="9"/>
    </row>
    <row r="643" spans="2:2" ht="12.5" x14ac:dyDescent="0.25">
      <c r="B643" s="9"/>
    </row>
    <row r="644" spans="2:2" ht="12.5" x14ac:dyDescent="0.25">
      <c r="B644" s="9"/>
    </row>
    <row r="645" spans="2:2" ht="12.5" x14ac:dyDescent="0.25">
      <c r="B645" s="9"/>
    </row>
    <row r="646" spans="2:2" ht="12.5" x14ac:dyDescent="0.25">
      <c r="B646" s="9"/>
    </row>
    <row r="647" spans="2:2" ht="12.5" x14ac:dyDescent="0.25">
      <c r="B647" s="9"/>
    </row>
    <row r="648" spans="2:2" ht="12.5" x14ac:dyDescent="0.25">
      <c r="B648" s="9"/>
    </row>
    <row r="649" spans="2:2" ht="12.5" x14ac:dyDescent="0.25">
      <c r="B649" s="9"/>
    </row>
    <row r="650" spans="2:2" ht="12.5" x14ac:dyDescent="0.25">
      <c r="B650" s="9"/>
    </row>
    <row r="651" spans="2:2" ht="12.5" x14ac:dyDescent="0.25">
      <c r="B651" s="9"/>
    </row>
    <row r="652" spans="2:2" ht="12.5" x14ac:dyDescent="0.25">
      <c r="B652" s="9"/>
    </row>
    <row r="653" spans="2:2" ht="12.5" x14ac:dyDescent="0.25">
      <c r="B653" s="9"/>
    </row>
    <row r="654" spans="2:2" ht="12.5" x14ac:dyDescent="0.25">
      <c r="B654" s="9"/>
    </row>
    <row r="655" spans="2:2" ht="12.5" x14ac:dyDescent="0.25">
      <c r="B655" s="9"/>
    </row>
    <row r="656" spans="2:2" ht="12.5" x14ac:dyDescent="0.25">
      <c r="B656" s="9"/>
    </row>
    <row r="657" spans="2:2" ht="12.5" x14ac:dyDescent="0.25">
      <c r="B657" s="9"/>
    </row>
    <row r="658" spans="2:2" ht="12.5" x14ac:dyDescent="0.25">
      <c r="B658" s="9"/>
    </row>
    <row r="659" spans="2:2" ht="12.5" x14ac:dyDescent="0.25">
      <c r="B659" s="9"/>
    </row>
    <row r="660" spans="2:2" ht="12.5" x14ac:dyDescent="0.25">
      <c r="B660" s="9"/>
    </row>
    <row r="661" spans="2:2" ht="12.5" x14ac:dyDescent="0.25">
      <c r="B661" s="9"/>
    </row>
    <row r="662" spans="2:2" ht="12.5" x14ac:dyDescent="0.25">
      <c r="B662" s="9"/>
    </row>
    <row r="663" spans="2:2" ht="12.5" x14ac:dyDescent="0.25">
      <c r="B663" s="9"/>
    </row>
    <row r="664" spans="2:2" ht="12.5" x14ac:dyDescent="0.25">
      <c r="B664" s="9"/>
    </row>
    <row r="665" spans="2:2" ht="12.5" x14ac:dyDescent="0.25">
      <c r="B665" s="9"/>
    </row>
    <row r="666" spans="2:2" ht="12.5" x14ac:dyDescent="0.25">
      <c r="B666" s="9"/>
    </row>
    <row r="667" spans="2:2" ht="12.5" x14ac:dyDescent="0.25">
      <c r="B667" s="9"/>
    </row>
    <row r="668" spans="2:2" ht="12.5" x14ac:dyDescent="0.25">
      <c r="B668" s="9"/>
    </row>
    <row r="669" spans="2:2" ht="12.5" x14ac:dyDescent="0.25">
      <c r="B669" s="9"/>
    </row>
    <row r="670" spans="2:2" ht="12.5" x14ac:dyDescent="0.25">
      <c r="B670" s="9"/>
    </row>
    <row r="671" spans="2:2" ht="12.5" x14ac:dyDescent="0.25">
      <c r="B671" s="9"/>
    </row>
    <row r="672" spans="2:2" ht="12.5" x14ac:dyDescent="0.25">
      <c r="B672" s="9"/>
    </row>
    <row r="673" spans="2:2" ht="12.5" x14ac:dyDescent="0.25">
      <c r="B673" s="9"/>
    </row>
    <row r="674" spans="2:2" ht="12.5" x14ac:dyDescent="0.25">
      <c r="B674" s="9"/>
    </row>
    <row r="675" spans="2:2" ht="12.5" x14ac:dyDescent="0.25">
      <c r="B675" s="9"/>
    </row>
    <row r="676" spans="2:2" ht="12.5" x14ac:dyDescent="0.25">
      <c r="B676" s="9"/>
    </row>
    <row r="677" spans="2:2" ht="12.5" x14ac:dyDescent="0.25">
      <c r="B677" s="9"/>
    </row>
    <row r="678" spans="2:2" ht="12.5" x14ac:dyDescent="0.25">
      <c r="B678" s="9"/>
    </row>
    <row r="679" spans="2:2" ht="12.5" x14ac:dyDescent="0.25">
      <c r="B679" s="9"/>
    </row>
    <row r="680" spans="2:2" ht="12.5" x14ac:dyDescent="0.25">
      <c r="B680" s="9"/>
    </row>
    <row r="681" spans="2:2" ht="12.5" x14ac:dyDescent="0.25">
      <c r="B681" s="9"/>
    </row>
    <row r="682" spans="2:2" ht="12.5" x14ac:dyDescent="0.25">
      <c r="B682" s="9"/>
    </row>
    <row r="683" spans="2:2" ht="12.5" x14ac:dyDescent="0.25">
      <c r="B683" s="9"/>
    </row>
    <row r="684" spans="2:2" ht="12.5" x14ac:dyDescent="0.25">
      <c r="B684" s="9"/>
    </row>
    <row r="685" spans="2:2" ht="12.5" x14ac:dyDescent="0.25">
      <c r="B685" s="9"/>
    </row>
    <row r="686" spans="2:2" ht="12.5" x14ac:dyDescent="0.25">
      <c r="B686" s="9"/>
    </row>
    <row r="687" spans="2:2" ht="12.5" x14ac:dyDescent="0.25">
      <c r="B687" s="9"/>
    </row>
    <row r="688" spans="2:2" ht="12.5" x14ac:dyDescent="0.25">
      <c r="B688" s="9"/>
    </row>
    <row r="689" spans="2:2" ht="12.5" x14ac:dyDescent="0.25">
      <c r="B689" s="9"/>
    </row>
    <row r="690" spans="2:2" ht="12.5" x14ac:dyDescent="0.25">
      <c r="B690" s="9"/>
    </row>
    <row r="691" spans="2:2" ht="12.5" x14ac:dyDescent="0.25">
      <c r="B691" s="9"/>
    </row>
    <row r="692" spans="2:2" ht="12.5" x14ac:dyDescent="0.25">
      <c r="B692" s="9"/>
    </row>
    <row r="693" spans="2:2" ht="12.5" x14ac:dyDescent="0.25">
      <c r="B693" s="9"/>
    </row>
    <row r="694" spans="2:2" ht="12.5" x14ac:dyDescent="0.25">
      <c r="B694" s="9"/>
    </row>
    <row r="695" spans="2:2" ht="12.5" x14ac:dyDescent="0.25">
      <c r="B695" s="9"/>
    </row>
    <row r="696" spans="2:2" ht="12.5" x14ac:dyDescent="0.25">
      <c r="B696" s="9"/>
    </row>
    <row r="697" spans="2:2" ht="12.5" x14ac:dyDescent="0.25">
      <c r="B697" s="9"/>
    </row>
    <row r="698" spans="2:2" ht="12.5" x14ac:dyDescent="0.25">
      <c r="B698" s="9"/>
    </row>
    <row r="699" spans="2:2" ht="12.5" x14ac:dyDescent="0.25">
      <c r="B699" s="9"/>
    </row>
    <row r="700" spans="2:2" ht="12.5" x14ac:dyDescent="0.25">
      <c r="B700" s="9"/>
    </row>
    <row r="701" spans="2:2" ht="12.5" x14ac:dyDescent="0.25">
      <c r="B701" s="9"/>
    </row>
    <row r="702" spans="2:2" ht="12.5" x14ac:dyDescent="0.25">
      <c r="B702" s="9"/>
    </row>
    <row r="703" spans="2:2" ht="12.5" x14ac:dyDescent="0.25">
      <c r="B703" s="9"/>
    </row>
    <row r="704" spans="2:2" ht="12.5" x14ac:dyDescent="0.25">
      <c r="B704" s="9"/>
    </row>
    <row r="705" spans="2:2" ht="12.5" x14ac:dyDescent="0.25">
      <c r="B705" s="9"/>
    </row>
    <row r="706" spans="2:2" ht="12.5" x14ac:dyDescent="0.25">
      <c r="B706" s="9"/>
    </row>
    <row r="707" spans="2:2" ht="12.5" x14ac:dyDescent="0.25">
      <c r="B707" s="9"/>
    </row>
    <row r="708" spans="2:2" ht="12.5" x14ac:dyDescent="0.25">
      <c r="B708" s="9"/>
    </row>
    <row r="709" spans="2:2" ht="12.5" x14ac:dyDescent="0.25">
      <c r="B709" s="9"/>
    </row>
    <row r="710" spans="2:2" ht="12.5" x14ac:dyDescent="0.25">
      <c r="B710" s="9"/>
    </row>
    <row r="711" spans="2:2" ht="12.5" x14ac:dyDescent="0.25">
      <c r="B711" s="9"/>
    </row>
    <row r="712" spans="2:2" ht="12.5" x14ac:dyDescent="0.25">
      <c r="B712" s="9"/>
    </row>
    <row r="713" spans="2:2" ht="12.5" x14ac:dyDescent="0.25">
      <c r="B713" s="9"/>
    </row>
    <row r="714" spans="2:2" ht="12.5" x14ac:dyDescent="0.25">
      <c r="B714" s="9"/>
    </row>
    <row r="715" spans="2:2" ht="12.5" x14ac:dyDescent="0.25">
      <c r="B715" s="9"/>
    </row>
    <row r="716" spans="2:2" ht="12.5" x14ac:dyDescent="0.25">
      <c r="B716" s="9"/>
    </row>
    <row r="717" spans="2:2" ht="12.5" x14ac:dyDescent="0.25">
      <c r="B717" s="9"/>
    </row>
    <row r="718" spans="2:2" ht="12.5" x14ac:dyDescent="0.25">
      <c r="B718" s="9"/>
    </row>
    <row r="719" spans="2:2" ht="12.5" x14ac:dyDescent="0.25">
      <c r="B719" s="9"/>
    </row>
    <row r="720" spans="2:2" ht="12.5" x14ac:dyDescent="0.25">
      <c r="B720" s="9"/>
    </row>
    <row r="721" spans="2:2" ht="12.5" x14ac:dyDescent="0.25">
      <c r="B721" s="9"/>
    </row>
    <row r="722" spans="2:2" ht="12.5" x14ac:dyDescent="0.25">
      <c r="B722" s="9"/>
    </row>
    <row r="723" spans="2:2" ht="12.5" x14ac:dyDescent="0.25">
      <c r="B723" s="9"/>
    </row>
    <row r="724" spans="2:2" ht="12.5" x14ac:dyDescent="0.25">
      <c r="B724" s="9"/>
    </row>
    <row r="725" spans="2:2" ht="12.5" x14ac:dyDescent="0.25">
      <c r="B725" s="9"/>
    </row>
    <row r="726" spans="2:2" ht="12.5" x14ac:dyDescent="0.25">
      <c r="B726" s="9"/>
    </row>
    <row r="727" spans="2:2" ht="12.5" x14ac:dyDescent="0.25">
      <c r="B727" s="9"/>
    </row>
    <row r="728" spans="2:2" ht="12.5" x14ac:dyDescent="0.25">
      <c r="B728" s="9"/>
    </row>
    <row r="729" spans="2:2" ht="12.5" x14ac:dyDescent="0.25">
      <c r="B729" s="9"/>
    </row>
    <row r="730" spans="2:2" ht="12.5" x14ac:dyDescent="0.25">
      <c r="B730" s="9"/>
    </row>
    <row r="731" spans="2:2" ht="12.5" x14ac:dyDescent="0.25">
      <c r="B731" s="9"/>
    </row>
    <row r="732" spans="2:2" ht="12.5" x14ac:dyDescent="0.25">
      <c r="B732" s="9"/>
    </row>
    <row r="733" spans="2:2" ht="12.5" x14ac:dyDescent="0.25">
      <c r="B733" s="9"/>
    </row>
    <row r="734" spans="2:2" ht="12.5" x14ac:dyDescent="0.25">
      <c r="B734" s="9"/>
    </row>
    <row r="735" spans="2:2" ht="12.5" x14ac:dyDescent="0.25">
      <c r="B735" s="9"/>
    </row>
    <row r="736" spans="2:2" ht="12.5" x14ac:dyDescent="0.25">
      <c r="B736" s="9"/>
    </row>
    <row r="737" spans="2:2" ht="12.5" x14ac:dyDescent="0.25">
      <c r="B737" s="9"/>
    </row>
    <row r="738" spans="2:2" ht="12.5" x14ac:dyDescent="0.25">
      <c r="B738" s="9"/>
    </row>
    <row r="739" spans="2:2" ht="12.5" x14ac:dyDescent="0.25">
      <c r="B739" s="9"/>
    </row>
    <row r="740" spans="2:2" ht="12.5" x14ac:dyDescent="0.25">
      <c r="B740" s="9"/>
    </row>
    <row r="741" spans="2:2" ht="12.5" x14ac:dyDescent="0.25">
      <c r="B741" s="9"/>
    </row>
    <row r="742" spans="2:2" ht="12.5" x14ac:dyDescent="0.25">
      <c r="B742" s="9"/>
    </row>
    <row r="743" spans="2:2" ht="12.5" x14ac:dyDescent="0.25">
      <c r="B743" s="9"/>
    </row>
    <row r="744" spans="2:2" ht="12.5" x14ac:dyDescent="0.25">
      <c r="B744" s="9"/>
    </row>
    <row r="745" spans="2:2" ht="12.5" x14ac:dyDescent="0.25">
      <c r="B745" s="9"/>
    </row>
    <row r="746" spans="2:2" ht="12.5" x14ac:dyDescent="0.25">
      <c r="B746" s="9"/>
    </row>
    <row r="747" spans="2:2" ht="12.5" x14ac:dyDescent="0.25">
      <c r="B747" s="9"/>
    </row>
    <row r="748" spans="2:2" ht="12.5" x14ac:dyDescent="0.25">
      <c r="B748" s="9"/>
    </row>
    <row r="749" spans="2:2" ht="12.5" x14ac:dyDescent="0.25">
      <c r="B749" s="9"/>
    </row>
    <row r="750" spans="2:2" ht="12.5" x14ac:dyDescent="0.25">
      <c r="B750" s="9"/>
    </row>
    <row r="751" spans="2:2" ht="12.5" x14ac:dyDescent="0.25">
      <c r="B751" s="9"/>
    </row>
    <row r="752" spans="2:2" ht="12.5" x14ac:dyDescent="0.25">
      <c r="B752" s="9"/>
    </row>
    <row r="753" spans="2:2" ht="12.5" x14ac:dyDescent="0.25">
      <c r="B753" s="9"/>
    </row>
    <row r="754" spans="2:2" ht="12.5" x14ac:dyDescent="0.25">
      <c r="B754" s="9"/>
    </row>
    <row r="755" spans="2:2" ht="12.5" x14ac:dyDescent="0.25">
      <c r="B755" s="9"/>
    </row>
    <row r="756" spans="2:2" ht="12.5" x14ac:dyDescent="0.25">
      <c r="B756" s="9"/>
    </row>
    <row r="757" spans="2:2" ht="12.5" x14ac:dyDescent="0.25">
      <c r="B757" s="9"/>
    </row>
    <row r="758" spans="2:2" ht="12.5" x14ac:dyDescent="0.25">
      <c r="B758" s="9"/>
    </row>
    <row r="759" spans="2:2" ht="12.5" x14ac:dyDescent="0.25">
      <c r="B759" s="9"/>
    </row>
    <row r="760" spans="2:2" ht="12.5" x14ac:dyDescent="0.25">
      <c r="B760" s="9"/>
    </row>
    <row r="761" spans="2:2" ht="12.5" x14ac:dyDescent="0.25">
      <c r="B761" s="9"/>
    </row>
    <row r="762" spans="2:2" ht="12.5" x14ac:dyDescent="0.25">
      <c r="B762" s="9"/>
    </row>
    <row r="763" spans="2:2" ht="12.5" x14ac:dyDescent="0.25">
      <c r="B763" s="9"/>
    </row>
    <row r="764" spans="2:2" ht="12.5" x14ac:dyDescent="0.25">
      <c r="B764" s="9"/>
    </row>
    <row r="765" spans="2:2" ht="12.5" x14ac:dyDescent="0.25">
      <c r="B765" s="9"/>
    </row>
    <row r="766" spans="2:2" ht="12.5" x14ac:dyDescent="0.25">
      <c r="B766" s="9"/>
    </row>
    <row r="767" spans="2:2" ht="12.5" x14ac:dyDescent="0.25">
      <c r="B767" s="9"/>
    </row>
    <row r="768" spans="2:2" ht="12.5" x14ac:dyDescent="0.25">
      <c r="B768" s="9"/>
    </row>
    <row r="769" spans="2:2" ht="12.5" x14ac:dyDescent="0.25">
      <c r="B769" s="9"/>
    </row>
    <row r="770" spans="2:2" ht="12.5" x14ac:dyDescent="0.25">
      <c r="B770" s="9"/>
    </row>
    <row r="771" spans="2:2" ht="12.5" x14ac:dyDescent="0.25">
      <c r="B771" s="9"/>
    </row>
    <row r="772" spans="2:2" ht="12.5" x14ac:dyDescent="0.25">
      <c r="B772" s="9"/>
    </row>
    <row r="773" spans="2:2" ht="12.5" x14ac:dyDescent="0.25">
      <c r="B773" s="9"/>
    </row>
    <row r="774" spans="2:2" ht="12.5" x14ac:dyDescent="0.25">
      <c r="B774" s="9"/>
    </row>
    <row r="775" spans="2:2" ht="12.5" x14ac:dyDescent="0.25">
      <c r="B775" s="9"/>
    </row>
    <row r="776" spans="2:2" ht="12.5" x14ac:dyDescent="0.25">
      <c r="B776" s="9"/>
    </row>
    <row r="777" spans="2:2" ht="12.5" x14ac:dyDescent="0.25">
      <c r="B777" s="9"/>
    </row>
    <row r="778" spans="2:2" ht="12.5" x14ac:dyDescent="0.25">
      <c r="B778" s="9"/>
    </row>
    <row r="779" spans="2:2" ht="12.5" x14ac:dyDescent="0.25">
      <c r="B779" s="9"/>
    </row>
    <row r="780" spans="2:2" ht="12.5" x14ac:dyDescent="0.25">
      <c r="B780" s="9"/>
    </row>
    <row r="781" spans="2:2" ht="12.5" x14ac:dyDescent="0.25">
      <c r="B781" s="9"/>
    </row>
    <row r="782" spans="2:2" ht="12.5" x14ac:dyDescent="0.25">
      <c r="B782" s="9"/>
    </row>
    <row r="783" spans="2:2" ht="12.5" x14ac:dyDescent="0.25">
      <c r="B783" s="9"/>
    </row>
    <row r="784" spans="2:2" ht="12.5" x14ac:dyDescent="0.25">
      <c r="B784" s="9"/>
    </row>
    <row r="785" spans="2:2" ht="12.5" x14ac:dyDescent="0.25">
      <c r="B785" s="9"/>
    </row>
    <row r="786" spans="2:2" ht="12.5" x14ac:dyDescent="0.25">
      <c r="B786" s="9"/>
    </row>
    <row r="787" spans="2:2" ht="12.5" x14ac:dyDescent="0.25">
      <c r="B787" s="9"/>
    </row>
    <row r="788" spans="2:2" ht="12.5" x14ac:dyDescent="0.25">
      <c r="B788" s="9"/>
    </row>
    <row r="789" spans="2:2" ht="12.5" x14ac:dyDescent="0.25">
      <c r="B789" s="9"/>
    </row>
    <row r="790" spans="2:2" ht="12.5" x14ac:dyDescent="0.25">
      <c r="B790" s="9"/>
    </row>
    <row r="791" spans="2:2" ht="12.5" x14ac:dyDescent="0.25">
      <c r="B791" s="9"/>
    </row>
    <row r="792" spans="2:2" ht="12.5" x14ac:dyDescent="0.25">
      <c r="B792" s="9"/>
    </row>
    <row r="793" spans="2:2" ht="12.5" x14ac:dyDescent="0.25">
      <c r="B793" s="9"/>
    </row>
    <row r="794" spans="2:2" ht="12.5" x14ac:dyDescent="0.25">
      <c r="B794" s="9"/>
    </row>
    <row r="795" spans="2:2" ht="12.5" x14ac:dyDescent="0.25">
      <c r="B795" s="9"/>
    </row>
    <row r="796" spans="2:2" ht="12.5" x14ac:dyDescent="0.25">
      <c r="B796" s="9"/>
    </row>
    <row r="797" spans="2:2" ht="12.5" x14ac:dyDescent="0.25">
      <c r="B797" s="9"/>
    </row>
    <row r="798" spans="2:2" ht="12.5" x14ac:dyDescent="0.25">
      <c r="B798" s="9"/>
    </row>
    <row r="799" spans="2:2" ht="12.5" x14ac:dyDescent="0.25">
      <c r="B799" s="9"/>
    </row>
    <row r="800" spans="2:2" ht="12.5" x14ac:dyDescent="0.25">
      <c r="B800" s="9"/>
    </row>
    <row r="801" spans="2:2" ht="12.5" x14ac:dyDescent="0.25">
      <c r="B801" s="9"/>
    </row>
    <row r="802" spans="2:2" ht="12.5" x14ac:dyDescent="0.25">
      <c r="B802" s="9"/>
    </row>
    <row r="803" spans="2:2" ht="12.5" x14ac:dyDescent="0.25">
      <c r="B803" s="9"/>
    </row>
    <row r="804" spans="2:2" ht="12.5" x14ac:dyDescent="0.25">
      <c r="B804" s="9"/>
    </row>
    <row r="805" spans="2:2" ht="12.5" x14ac:dyDescent="0.25">
      <c r="B805" s="9"/>
    </row>
    <row r="806" spans="2:2" ht="12.5" x14ac:dyDescent="0.25">
      <c r="B806" s="9"/>
    </row>
    <row r="807" spans="2:2" ht="12.5" x14ac:dyDescent="0.25">
      <c r="B807" s="9"/>
    </row>
    <row r="808" spans="2:2" ht="12.5" x14ac:dyDescent="0.25">
      <c r="B808" s="9"/>
    </row>
    <row r="809" spans="2:2" ht="12.5" x14ac:dyDescent="0.25">
      <c r="B809" s="9"/>
    </row>
    <row r="810" spans="2:2" ht="12.5" x14ac:dyDescent="0.25">
      <c r="B810" s="9"/>
    </row>
    <row r="811" spans="2:2" ht="12.5" x14ac:dyDescent="0.25">
      <c r="B811" s="9"/>
    </row>
    <row r="812" spans="2:2" ht="12.5" x14ac:dyDescent="0.25">
      <c r="B812" s="9"/>
    </row>
    <row r="813" spans="2:2" ht="12.5" x14ac:dyDescent="0.25">
      <c r="B813" s="9"/>
    </row>
    <row r="814" spans="2:2" ht="12.5" x14ac:dyDescent="0.25">
      <c r="B814" s="9"/>
    </row>
    <row r="815" spans="2:2" ht="12.5" x14ac:dyDescent="0.25">
      <c r="B815" s="9"/>
    </row>
    <row r="816" spans="2:2" ht="12.5" x14ac:dyDescent="0.25">
      <c r="B816" s="9"/>
    </row>
    <row r="817" spans="2:2" ht="12.5" x14ac:dyDescent="0.25">
      <c r="B817" s="9"/>
    </row>
    <row r="818" spans="2:2" ht="12.5" x14ac:dyDescent="0.25">
      <c r="B818" s="9"/>
    </row>
    <row r="819" spans="2:2" ht="12.5" x14ac:dyDescent="0.25">
      <c r="B819" s="9"/>
    </row>
    <row r="820" spans="2:2" ht="12.5" x14ac:dyDescent="0.25">
      <c r="B820" s="9"/>
    </row>
    <row r="821" spans="2:2" ht="12.5" x14ac:dyDescent="0.25">
      <c r="B821" s="9"/>
    </row>
    <row r="822" spans="2:2" ht="12.5" x14ac:dyDescent="0.25">
      <c r="B822" s="9"/>
    </row>
    <row r="823" spans="2:2" ht="12.5" x14ac:dyDescent="0.25">
      <c r="B823" s="9"/>
    </row>
    <row r="824" spans="2:2" ht="12.5" x14ac:dyDescent="0.25">
      <c r="B824" s="9"/>
    </row>
    <row r="825" spans="2:2" ht="12.5" x14ac:dyDescent="0.25">
      <c r="B825" s="9"/>
    </row>
    <row r="826" spans="2:2" ht="12.5" x14ac:dyDescent="0.25">
      <c r="B826" s="9"/>
    </row>
    <row r="827" spans="2:2" ht="12.5" x14ac:dyDescent="0.25">
      <c r="B827" s="9"/>
    </row>
    <row r="828" spans="2:2" ht="12.5" x14ac:dyDescent="0.25">
      <c r="B828" s="9"/>
    </row>
    <row r="829" spans="2:2" ht="12.5" x14ac:dyDescent="0.25">
      <c r="B829" s="9"/>
    </row>
    <row r="830" spans="2:2" ht="12.5" x14ac:dyDescent="0.25">
      <c r="B830" s="9"/>
    </row>
    <row r="831" spans="2:2" ht="12.5" x14ac:dyDescent="0.25">
      <c r="B831" s="9"/>
    </row>
    <row r="832" spans="2:2" ht="12.5" x14ac:dyDescent="0.25">
      <c r="B832" s="9"/>
    </row>
    <row r="833" spans="2:2" ht="12.5" x14ac:dyDescent="0.25">
      <c r="B833" s="9"/>
    </row>
    <row r="834" spans="2:2" ht="12.5" x14ac:dyDescent="0.25">
      <c r="B834" s="9"/>
    </row>
    <row r="835" spans="2:2" ht="12.5" x14ac:dyDescent="0.25">
      <c r="B835" s="9"/>
    </row>
    <row r="836" spans="2:2" ht="12.5" x14ac:dyDescent="0.25">
      <c r="B836" s="9"/>
    </row>
    <row r="837" spans="2:2" ht="12.5" x14ac:dyDescent="0.25">
      <c r="B837" s="9"/>
    </row>
    <row r="838" spans="2:2" ht="12.5" x14ac:dyDescent="0.25">
      <c r="B838" s="9"/>
    </row>
    <row r="839" spans="2:2" ht="12.5" x14ac:dyDescent="0.25">
      <c r="B839" s="9"/>
    </row>
    <row r="840" spans="2:2" ht="12.5" x14ac:dyDescent="0.25">
      <c r="B840" s="9"/>
    </row>
    <row r="841" spans="2:2" ht="12.5" x14ac:dyDescent="0.25">
      <c r="B841" s="9"/>
    </row>
    <row r="842" spans="2:2" ht="12.5" x14ac:dyDescent="0.25">
      <c r="B842" s="9"/>
    </row>
    <row r="843" spans="2:2" ht="12.5" x14ac:dyDescent="0.25">
      <c r="B843" s="9"/>
    </row>
    <row r="844" spans="2:2" ht="12.5" x14ac:dyDescent="0.25">
      <c r="B844" s="9"/>
    </row>
    <row r="845" spans="2:2" ht="12.5" x14ac:dyDescent="0.25">
      <c r="B845" s="9"/>
    </row>
    <row r="846" spans="2:2" ht="12.5" x14ac:dyDescent="0.25">
      <c r="B846" s="9"/>
    </row>
    <row r="847" spans="2:2" ht="12.5" x14ac:dyDescent="0.25">
      <c r="B847" s="9"/>
    </row>
    <row r="848" spans="2:2" ht="12.5" x14ac:dyDescent="0.25">
      <c r="B848" s="9"/>
    </row>
    <row r="849" spans="2:2" ht="12.5" x14ac:dyDescent="0.25">
      <c r="B849" s="9"/>
    </row>
    <row r="850" spans="2:2" ht="12.5" x14ac:dyDescent="0.25">
      <c r="B850" s="9"/>
    </row>
    <row r="851" spans="2:2" ht="12.5" x14ac:dyDescent="0.25">
      <c r="B851" s="9"/>
    </row>
    <row r="852" spans="2:2" ht="12.5" x14ac:dyDescent="0.25">
      <c r="B852" s="9"/>
    </row>
    <row r="853" spans="2:2" ht="12.5" x14ac:dyDescent="0.25">
      <c r="B853" s="9"/>
    </row>
    <row r="854" spans="2:2" ht="12.5" x14ac:dyDescent="0.25">
      <c r="B854" s="9"/>
    </row>
    <row r="855" spans="2:2" ht="12.5" x14ac:dyDescent="0.25">
      <c r="B855" s="9"/>
    </row>
    <row r="856" spans="2:2" ht="12.5" x14ac:dyDescent="0.25">
      <c r="B856" s="9"/>
    </row>
    <row r="857" spans="2:2" ht="12.5" x14ac:dyDescent="0.25">
      <c r="B857" s="9"/>
    </row>
    <row r="858" spans="2:2" ht="12.5" x14ac:dyDescent="0.25">
      <c r="B858" s="9"/>
    </row>
    <row r="859" spans="2:2" ht="12.5" x14ac:dyDescent="0.25">
      <c r="B859" s="9"/>
    </row>
    <row r="860" spans="2:2" ht="12.5" x14ac:dyDescent="0.25">
      <c r="B860" s="9"/>
    </row>
    <row r="861" spans="2:2" ht="12.5" x14ac:dyDescent="0.25">
      <c r="B861" s="9"/>
    </row>
    <row r="862" spans="2:2" ht="12.5" x14ac:dyDescent="0.25">
      <c r="B862" s="9"/>
    </row>
    <row r="863" spans="2:2" ht="12.5" x14ac:dyDescent="0.25">
      <c r="B863" s="9"/>
    </row>
    <row r="864" spans="2:2" ht="12.5" x14ac:dyDescent="0.25">
      <c r="B864" s="9"/>
    </row>
    <row r="865" spans="2:2" ht="12.5" x14ac:dyDescent="0.25">
      <c r="B865" s="9"/>
    </row>
    <row r="866" spans="2:2" ht="12.5" x14ac:dyDescent="0.25">
      <c r="B866" s="9"/>
    </row>
    <row r="867" spans="2:2" ht="12.5" x14ac:dyDescent="0.25">
      <c r="B867" s="9"/>
    </row>
    <row r="868" spans="2:2" ht="12.5" x14ac:dyDescent="0.25">
      <c r="B868" s="9"/>
    </row>
    <row r="869" spans="2:2" ht="12.5" x14ac:dyDescent="0.25">
      <c r="B869" s="9"/>
    </row>
    <row r="870" spans="2:2" ht="12.5" x14ac:dyDescent="0.25">
      <c r="B870" s="9"/>
    </row>
    <row r="871" spans="2:2" ht="12.5" x14ac:dyDescent="0.25">
      <c r="B871" s="9"/>
    </row>
    <row r="872" spans="2:2" ht="12.5" x14ac:dyDescent="0.25">
      <c r="B872" s="9"/>
    </row>
    <row r="873" spans="2:2" ht="12.5" x14ac:dyDescent="0.25">
      <c r="B873" s="9"/>
    </row>
    <row r="874" spans="2:2" ht="12.5" x14ac:dyDescent="0.25">
      <c r="B874" s="9"/>
    </row>
    <row r="875" spans="2:2" ht="12.5" x14ac:dyDescent="0.25">
      <c r="B875" s="9"/>
    </row>
    <row r="876" spans="2:2" ht="12.5" x14ac:dyDescent="0.25">
      <c r="B876" s="9"/>
    </row>
    <row r="877" spans="2:2" ht="12.5" x14ac:dyDescent="0.25">
      <c r="B877" s="9"/>
    </row>
    <row r="878" spans="2:2" ht="12.5" x14ac:dyDescent="0.25">
      <c r="B878" s="9"/>
    </row>
    <row r="879" spans="2:2" ht="12.5" x14ac:dyDescent="0.25">
      <c r="B879" s="9"/>
    </row>
    <row r="880" spans="2:2" ht="12.5" x14ac:dyDescent="0.25">
      <c r="B880" s="9"/>
    </row>
    <row r="881" spans="2:2" ht="12.5" x14ac:dyDescent="0.25">
      <c r="B881" s="9"/>
    </row>
    <row r="882" spans="2:2" ht="12.5" x14ac:dyDescent="0.25">
      <c r="B882" s="9"/>
    </row>
    <row r="883" spans="2:2" ht="12.5" x14ac:dyDescent="0.25">
      <c r="B883" s="9"/>
    </row>
    <row r="884" spans="2:2" ht="12.5" x14ac:dyDescent="0.25">
      <c r="B884" s="9"/>
    </row>
    <row r="885" spans="2:2" ht="12.5" x14ac:dyDescent="0.25">
      <c r="B885" s="9"/>
    </row>
    <row r="886" spans="2:2" ht="12.5" x14ac:dyDescent="0.25">
      <c r="B886" s="9"/>
    </row>
    <row r="887" spans="2:2" ht="12.5" x14ac:dyDescent="0.25">
      <c r="B887" s="9"/>
    </row>
    <row r="888" spans="2:2" ht="12.5" x14ac:dyDescent="0.25">
      <c r="B888" s="9"/>
    </row>
    <row r="889" spans="2:2" ht="12.5" x14ac:dyDescent="0.25">
      <c r="B889" s="9"/>
    </row>
    <row r="890" spans="2:2" ht="12.5" x14ac:dyDescent="0.25">
      <c r="B890" s="9"/>
    </row>
    <row r="891" spans="2:2" ht="12.5" x14ac:dyDescent="0.25">
      <c r="B891" s="9"/>
    </row>
    <row r="892" spans="2:2" ht="12.5" x14ac:dyDescent="0.25">
      <c r="B892" s="9"/>
    </row>
    <row r="893" spans="2:2" ht="12.5" x14ac:dyDescent="0.25">
      <c r="B893" s="9"/>
    </row>
    <row r="894" spans="2:2" ht="12.5" x14ac:dyDescent="0.25">
      <c r="B894" s="9"/>
    </row>
    <row r="895" spans="2:2" ht="12.5" x14ac:dyDescent="0.25">
      <c r="B895" s="9"/>
    </row>
    <row r="896" spans="2:2" ht="12.5" x14ac:dyDescent="0.25">
      <c r="B896" s="9"/>
    </row>
    <row r="897" spans="2:2" ht="12.5" x14ac:dyDescent="0.25">
      <c r="B897" s="9"/>
    </row>
    <row r="898" spans="2:2" ht="12.5" x14ac:dyDescent="0.25">
      <c r="B898" s="9"/>
    </row>
    <row r="899" spans="2:2" ht="12.5" x14ac:dyDescent="0.25">
      <c r="B899" s="9"/>
    </row>
    <row r="900" spans="2:2" ht="12.5" x14ac:dyDescent="0.25">
      <c r="B900" s="9"/>
    </row>
    <row r="901" spans="2:2" ht="12.5" x14ac:dyDescent="0.25">
      <c r="B901" s="9"/>
    </row>
    <row r="902" spans="2:2" ht="12.5" x14ac:dyDescent="0.25">
      <c r="B902" s="9"/>
    </row>
    <row r="903" spans="2:2" ht="12.5" x14ac:dyDescent="0.25">
      <c r="B903" s="9"/>
    </row>
    <row r="904" spans="2:2" ht="12.5" x14ac:dyDescent="0.25">
      <c r="B904" s="9"/>
    </row>
    <row r="905" spans="2:2" ht="12.5" x14ac:dyDescent="0.25">
      <c r="B905" s="9"/>
    </row>
    <row r="906" spans="2:2" ht="12.5" x14ac:dyDescent="0.25">
      <c r="B906" s="9"/>
    </row>
    <row r="907" spans="2:2" ht="12.5" x14ac:dyDescent="0.25">
      <c r="B907" s="9"/>
    </row>
    <row r="908" spans="2:2" ht="12.5" x14ac:dyDescent="0.25">
      <c r="B908" s="9"/>
    </row>
    <row r="909" spans="2:2" ht="12.5" x14ac:dyDescent="0.25">
      <c r="B909" s="9"/>
    </row>
    <row r="910" spans="2:2" ht="12.5" x14ac:dyDescent="0.25">
      <c r="B910" s="9"/>
    </row>
    <row r="911" spans="2:2" ht="12.5" x14ac:dyDescent="0.25">
      <c r="B911" s="9"/>
    </row>
    <row r="912" spans="2:2" ht="12.5" x14ac:dyDescent="0.25">
      <c r="B912" s="9"/>
    </row>
    <row r="913" spans="2:2" ht="12.5" x14ac:dyDescent="0.25">
      <c r="B913" s="9"/>
    </row>
    <row r="914" spans="2:2" ht="12.5" x14ac:dyDescent="0.25">
      <c r="B914" s="9"/>
    </row>
    <row r="915" spans="2:2" ht="12.5" x14ac:dyDescent="0.25">
      <c r="B915" s="9"/>
    </row>
    <row r="916" spans="2:2" ht="12.5" x14ac:dyDescent="0.25">
      <c r="B916" s="9"/>
    </row>
    <row r="917" spans="2:2" ht="12.5" x14ac:dyDescent="0.25">
      <c r="B917" s="9"/>
    </row>
    <row r="918" spans="2:2" ht="12.5" x14ac:dyDescent="0.25">
      <c r="B918" s="9"/>
    </row>
    <row r="919" spans="2:2" ht="12.5" x14ac:dyDescent="0.25">
      <c r="B919" s="9"/>
    </row>
    <row r="920" spans="2:2" ht="12.5" x14ac:dyDescent="0.25">
      <c r="B920" s="9"/>
    </row>
    <row r="921" spans="2:2" ht="12.5" x14ac:dyDescent="0.25">
      <c r="B921" s="9"/>
    </row>
    <row r="922" spans="2:2" ht="12.5" x14ac:dyDescent="0.25">
      <c r="B922" s="9"/>
    </row>
    <row r="923" spans="2:2" ht="12.5" x14ac:dyDescent="0.25">
      <c r="B923" s="9"/>
    </row>
    <row r="924" spans="2:2" ht="12.5" x14ac:dyDescent="0.25">
      <c r="B924" s="9"/>
    </row>
    <row r="925" spans="2:2" ht="12.5" x14ac:dyDescent="0.25">
      <c r="B925" s="9"/>
    </row>
    <row r="926" spans="2:2" ht="12.5" x14ac:dyDescent="0.25">
      <c r="B926" s="9"/>
    </row>
    <row r="927" spans="2:2" ht="12.5" x14ac:dyDescent="0.25">
      <c r="B927" s="9"/>
    </row>
    <row r="928" spans="2:2" ht="12.5" x14ac:dyDescent="0.25">
      <c r="B928" s="9"/>
    </row>
    <row r="929" spans="2:2" ht="12.5" x14ac:dyDescent="0.25">
      <c r="B929" s="9"/>
    </row>
    <row r="930" spans="2:2" ht="12.5" x14ac:dyDescent="0.25">
      <c r="B930" s="9"/>
    </row>
    <row r="931" spans="2:2" ht="12.5" x14ac:dyDescent="0.25">
      <c r="B931" s="9"/>
    </row>
    <row r="932" spans="2:2" ht="12.5" x14ac:dyDescent="0.25">
      <c r="B932" s="9"/>
    </row>
    <row r="933" spans="2:2" ht="12.5" x14ac:dyDescent="0.25">
      <c r="B933" s="9"/>
    </row>
    <row r="934" spans="2:2" ht="12.5" x14ac:dyDescent="0.25">
      <c r="B934" s="9"/>
    </row>
    <row r="935" spans="2:2" ht="12.5" x14ac:dyDescent="0.25">
      <c r="B935" s="9"/>
    </row>
    <row r="936" spans="2:2" ht="12.5" x14ac:dyDescent="0.25">
      <c r="B936" s="9"/>
    </row>
    <row r="937" spans="2:2" ht="12.5" x14ac:dyDescent="0.25">
      <c r="B937" s="9"/>
    </row>
    <row r="938" spans="2:2" ht="12.5" x14ac:dyDescent="0.25">
      <c r="B938" s="9"/>
    </row>
    <row r="939" spans="2:2" ht="12.5" x14ac:dyDescent="0.25">
      <c r="B939" s="9"/>
    </row>
    <row r="940" spans="2:2" ht="12.5" x14ac:dyDescent="0.25">
      <c r="B940" s="9"/>
    </row>
    <row r="941" spans="2:2" ht="12.5" x14ac:dyDescent="0.25">
      <c r="B941" s="9"/>
    </row>
    <row r="942" spans="2:2" ht="12.5" x14ac:dyDescent="0.25">
      <c r="B942" s="9"/>
    </row>
    <row r="943" spans="2:2" ht="12.5" x14ac:dyDescent="0.25">
      <c r="B943" s="9"/>
    </row>
    <row r="944" spans="2:2" ht="12.5" x14ac:dyDescent="0.25">
      <c r="B944" s="9"/>
    </row>
    <row r="945" spans="2:2" ht="12.5" x14ac:dyDescent="0.25">
      <c r="B945" s="9"/>
    </row>
    <row r="946" spans="2:2" ht="12.5" x14ac:dyDescent="0.25">
      <c r="B946" s="9"/>
    </row>
    <row r="947" spans="2:2" ht="12.5" x14ac:dyDescent="0.25">
      <c r="B947" s="9"/>
    </row>
    <row r="948" spans="2:2" ht="12.5" x14ac:dyDescent="0.25">
      <c r="B948" s="9"/>
    </row>
    <row r="949" spans="2:2" ht="12.5" x14ac:dyDescent="0.25">
      <c r="B949" s="9"/>
    </row>
    <row r="950" spans="2:2" ht="12.5" x14ac:dyDescent="0.25">
      <c r="B950" s="9"/>
    </row>
    <row r="951" spans="2:2" ht="12.5" x14ac:dyDescent="0.25">
      <c r="B951" s="9"/>
    </row>
    <row r="952" spans="2:2" ht="12.5" x14ac:dyDescent="0.25">
      <c r="B952" s="9"/>
    </row>
    <row r="953" spans="2:2" ht="12.5" x14ac:dyDescent="0.25">
      <c r="B953" s="9"/>
    </row>
    <row r="954" spans="2:2" ht="12.5" x14ac:dyDescent="0.25">
      <c r="B954" s="9"/>
    </row>
    <row r="955" spans="2:2" ht="12.5" x14ac:dyDescent="0.25">
      <c r="B955" s="9"/>
    </row>
    <row r="956" spans="2:2" ht="12.5" x14ac:dyDescent="0.25">
      <c r="B956" s="9"/>
    </row>
    <row r="957" spans="2:2" ht="12.5" x14ac:dyDescent="0.25">
      <c r="B957" s="9"/>
    </row>
    <row r="958" spans="2:2" ht="12.5" x14ac:dyDescent="0.25">
      <c r="B958" s="9"/>
    </row>
    <row r="959" spans="2:2" ht="12.5" x14ac:dyDescent="0.25">
      <c r="B959" s="9"/>
    </row>
    <row r="960" spans="2:2" ht="12.5" x14ac:dyDescent="0.25">
      <c r="B960" s="9"/>
    </row>
    <row r="961" spans="2:2" ht="12.5" x14ac:dyDescent="0.25">
      <c r="B961" s="9"/>
    </row>
    <row r="962" spans="2:2" ht="12.5" x14ac:dyDescent="0.25">
      <c r="B962" s="9"/>
    </row>
    <row r="963" spans="2:2" ht="12.5" x14ac:dyDescent="0.25">
      <c r="B963" s="9"/>
    </row>
    <row r="964" spans="2:2" ht="12.5" x14ac:dyDescent="0.25">
      <c r="B964" s="9"/>
    </row>
    <row r="965" spans="2:2" ht="12.5" x14ac:dyDescent="0.25">
      <c r="B965" s="9"/>
    </row>
    <row r="966" spans="2:2" ht="12.5" x14ac:dyDescent="0.25">
      <c r="B966" s="9"/>
    </row>
    <row r="967" spans="2:2" ht="12.5" x14ac:dyDescent="0.25">
      <c r="B967" s="9"/>
    </row>
    <row r="968" spans="2:2" ht="12.5" x14ac:dyDescent="0.25">
      <c r="B968" s="9"/>
    </row>
    <row r="969" spans="2:2" ht="12.5" x14ac:dyDescent="0.25">
      <c r="B969" s="9"/>
    </row>
    <row r="970" spans="2:2" ht="12.5" x14ac:dyDescent="0.25">
      <c r="B970" s="9"/>
    </row>
    <row r="971" spans="2:2" ht="12.5" x14ac:dyDescent="0.25">
      <c r="B971" s="9"/>
    </row>
    <row r="972" spans="2:2" ht="12.5" x14ac:dyDescent="0.25">
      <c r="B972" s="9"/>
    </row>
    <row r="973" spans="2:2" ht="12.5" x14ac:dyDescent="0.25">
      <c r="B973" s="9"/>
    </row>
    <row r="974" spans="2:2" ht="12.5" x14ac:dyDescent="0.25">
      <c r="B974" s="9"/>
    </row>
    <row r="975" spans="2:2" ht="12.5" x14ac:dyDescent="0.25">
      <c r="B975" s="9"/>
    </row>
    <row r="976" spans="2:2" ht="12.5" x14ac:dyDescent="0.25">
      <c r="B976" s="9"/>
    </row>
    <row r="977" spans="2:2" ht="12.5" x14ac:dyDescent="0.25">
      <c r="B977" s="9"/>
    </row>
    <row r="978" spans="2:2" ht="12.5" x14ac:dyDescent="0.25">
      <c r="B978" s="9"/>
    </row>
    <row r="979" spans="2:2" ht="12.5" x14ac:dyDescent="0.25">
      <c r="B979" s="9"/>
    </row>
    <row r="980" spans="2:2" ht="12.5" x14ac:dyDescent="0.25">
      <c r="B980" s="9"/>
    </row>
    <row r="981" spans="2:2" ht="12.5" x14ac:dyDescent="0.25">
      <c r="B981" s="9"/>
    </row>
    <row r="982" spans="2:2" ht="12.5" x14ac:dyDescent="0.25">
      <c r="B982" s="9"/>
    </row>
    <row r="983" spans="2:2" ht="12.5" x14ac:dyDescent="0.25">
      <c r="B983" s="9"/>
    </row>
    <row r="984" spans="2:2" ht="12.5" x14ac:dyDescent="0.25">
      <c r="B984" s="9"/>
    </row>
    <row r="985" spans="2:2" ht="12.5" x14ac:dyDescent="0.25">
      <c r="B985" s="9"/>
    </row>
    <row r="986" spans="2:2" ht="12.5" x14ac:dyDescent="0.25">
      <c r="B986" s="9"/>
    </row>
    <row r="987" spans="2:2" ht="12.5" x14ac:dyDescent="0.25">
      <c r="B987" s="9"/>
    </row>
    <row r="988" spans="2:2" ht="12.5" x14ac:dyDescent="0.25">
      <c r="B988" s="9"/>
    </row>
    <row r="989" spans="2:2" ht="12.5" x14ac:dyDescent="0.25">
      <c r="B989" s="9"/>
    </row>
    <row r="990" spans="2:2" ht="12.5" x14ac:dyDescent="0.25">
      <c r="B990" s="9"/>
    </row>
    <row r="991" spans="2:2" ht="12.5" x14ac:dyDescent="0.25">
      <c r="B991" s="9"/>
    </row>
    <row r="992" spans="2:2" ht="12.5" x14ac:dyDescent="0.25">
      <c r="B992" s="9"/>
    </row>
    <row r="993" spans="2:2" ht="12.5" x14ac:dyDescent="0.25">
      <c r="B993" s="9"/>
    </row>
    <row r="994" spans="2:2" ht="12.5" x14ac:dyDescent="0.25">
      <c r="B994" s="9"/>
    </row>
    <row r="995" spans="2:2" ht="12.5" x14ac:dyDescent="0.25">
      <c r="B995" s="9"/>
    </row>
    <row r="996" spans="2:2" ht="12.5" x14ac:dyDescent="0.25">
      <c r="B996" s="9"/>
    </row>
    <row r="997" spans="2:2" ht="12.5" x14ac:dyDescent="0.25">
      <c r="B997" s="9"/>
    </row>
    <row r="998" spans="2:2" ht="12.5" x14ac:dyDescent="0.25">
      <c r="B998" s="9"/>
    </row>
    <row r="999" spans="2:2" ht="12.5" x14ac:dyDescent="0.25">
      <c r="B999" s="9"/>
    </row>
    <row r="1000" spans="2:2" ht="12.5" x14ac:dyDescent="0.25">
      <c r="B1000" s="9"/>
    </row>
    <row r="1001" spans="2:2" ht="12.5" x14ac:dyDescent="0.25">
      <c r="B1001" s="9"/>
    </row>
    <row r="1002" spans="2:2" ht="12.5" x14ac:dyDescent="0.25">
      <c r="B1002" s="9"/>
    </row>
    <row r="1003" spans="2:2" ht="12.5" x14ac:dyDescent="0.25">
      <c r="B1003" s="9"/>
    </row>
    <row r="1004" spans="2:2" ht="12.5" x14ac:dyDescent="0.25">
      <c r="B1004" s="9"/>
    </row>
    <row r="1005" spans="2:2" ht="12.5" x14ac:dyDescent="0.25">
      <c r="B1005" s="9"/>
    </row>
    <row r="1006" spans="2:2" ht="12.5" x14ac:dyDescent="0.25">
      <c r="B1006" s="9"/>
    </row>
    <row r="1007" spans="2:2" ht="12.5" x14ac:dyDescent="0.25">
      <c r="B100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GUIDELINE</vt:lpstr>
      <vt:lpstr>INVESTMENT</vt:lpstr>
      <vt:lpstr>2025</vt:lpstr>
      <vt:lpstr>2026</vt:lpstr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Syaira Hani Lazman Halim</dc:creator>
  <cp:lastModifiedBy>Syaira Hani Lazman Halim</cp:lastModifiedBy>
  <dcterms:created xsi:type="dcterms:W3CDTF">2025-11-19T13:20:13Z</dcterms:created>
  <dcterms:modified xsi:type="dcterms:W3CDTF">2026-04-22T01:09:59Z</dcterms:modified>
</cp:coreProperties>
</file>